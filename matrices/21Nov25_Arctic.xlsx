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entz001\Documents\FoodWeb\matrices\"/>
    </mc:Choice>
  </mc:AlternateContent>
  <xr:revisionPtr revIDLastSave="0" documentId="13_ncr:1_{C11EC4F7-FC70-41AA-9769-D7A7602FCB89}" xr6:coauthVersionLast="47" xr6:coauthVersionMax="47" xr10:uidLastSave="{00000000-0000-0000-0000-000000000000}"/>
  <bookViews>
    <workbookView xWindow="-28920" yWindow="-1845" windowWidth="29040" windowHeight="15720" xr2:uid="{A4BD88ED-9CD0-4539-BCFD-D4767D3BB142}"/>
  </bookViews>
  <sheets>
    <sheet name="PredPreyMatrixArctic" sheetId="1" r:id="rId1"/>
    <sheet name="Lit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X104" i="1" l="1"/>
</calcChain>
</file>

<file path=xl/sharedStrings.xml><?xml version="1.0" encoding="utf-8"?>
<sst xmlns="http://schemas.openxmlformats.org/spreadsheetml/2006/main" count="530" uniqueCount="207">
  <si>
    <t>Calanus finmarchicus</t>
  </si>
  <si>
    <t>Calanus glacialis</t>
  </si>
  <si>
    <t>Calanus hyperboreus</t>
  </si>
  <si>
    <t>Pseudocalanus minutus</t>
  </si>
  <si>
    <t>Microcalanus pygmaeus</t>
  </si>
  <si>
    <t>Spinocalanus antarcticus</t>
  </si>
  <si>
    <t xml:space="preserve">Spinocalanus spp. </t>
  </si>
  <si>
    <t>Spinocalanus elongatus</t>
  </si>
  <si>
    <t>Spinocalanus longicornis</t>
  </si>
  <si>
    <t>Aetideidae</t>
  </si>
  <si>
    <t>Aetideopsis rostrata</t>
  </si>
  <si>
    <t>Aetideopsis multiserrata</t>
  </si>
  <si>
    <t>Chiridius obtusifrons</t>
  </si>
  <si>
    <t>Chiridiella sp.</t>
  </si>
  <si>
    <t>Euchaeta spp.</t>
  </si>
  <si>
    <t>Scaphocalanus magnus</t>
  </si>
  <si>
    <t>Scaphocalanus brevicornis</t>
  </si>
  <si>
    <t>Tharybis groenlandica</t>
  </si>
  <si>
    <t>Undinella oblonga</t>
  </si>
  <si>
    <t>Metridia longa</t>
  </si>
  <si>
    <t>Lucicutia polaris</t>
  </si>
  <si>
    <t>Heterorhabdus norvegicus</t>
  </si>
  <si>
    <t>Haloptilus acutifrons</t>
  </si>
  <si>
    <t>Augaptilus glacialis</t>
  </si>
  <si>
    <t>Temorites brevis</t>
  </si>
  <si>
    <t>Oithona atlantica</t>
  </si>
  <si>
    <t>Oithona similis</t>
  </si>
  <si>
    <t>Oncaea sp.</t>
  </si>
  <si>
    <t>Tisbe sp.</t>
  </si>
  <si>
    <t>Mormonilla sp.</t>
  </si>
  <si>
    <t>Ostracoda</t>
  </si>
  <si>
    <t>Isopoda</t>
  </si>
  <si>
    <t>Amphipoda</t>
  </si>
  <si>
    <t>Themisto abyssorum</t>
  </si>
  <si>
    <t>Themisto libellula</t>
  </si>
  <si>
    <t>Thysanoessa longicaudata</t>
  </si>
  <si>
    <t>Hymenodora glacialis</t>
  </si>
  <si>
    <t>Polychaeta</t>
  </si>
  <si>
    <t>Clione limacina</t>
  </si>
  <si>
    <t>Ophiuridae</t>
  </si>
  <si>
    <t>Chaetognatha</t>
  </si>
  <si>
    <t>Solmundella bitentaculata</t>
  </si>
  <si>
    <t>Arctic</t>
  </si>
  <si>
    <t>Taxa</t>
  </si>
  <si>
    <t>AphiaID</t>
  </si>
  <si>
    <t>Spinocalanus longispinus (now Spinocalanus horridus)</t>
  </si>
  <si>
    <t>Gaidius brevispinus (now: Gaetanus brevispinus)</t>
  </si>
  <si>
    <t>Gaidius tenuispinus (now: Gaetanus tenuispinus)</t>
  </si>
  <si>
    <t>Pseudochirella elongata (now: Pseudochirella spectabilis)</t>
  </si>
  <si>
    <t>Euchaeta glacialis (now: Paraeuchaeta glacialis)</t>
  </si>
  <si>
    <t>Euchaeta barbata (now: Paraeuchaeta barbata barbata)</t>
  </si>
  <si>
    <t>Scolecithricella minor (now: Scolecithricella minor minor)</t>
  </si>
  <si>
    <t>Heterorhabdus compactus (now: Paraheterorhabdus compactus)</t>
  </si>
  <si>
    <t>Nauplien (here: Calanoida)</t>
  </si>
  <si>
    <t>CI-CIII indet. (here: Calanoida)</t>
  </si>
  <si>
    <t>Harpacticoidae (here: Harpacticoida)</t>
  </si>
  <si>
    <t>Lubbockia glacialis (now: Atrophia glacialis)</t>
  </si>
  <si>
    <t>Appendicularien (here: Appendicularia)</t>
  </si>
  <si>
    <t>Siphonophora (now: Siphonophorae)</t>
  </si>
  <si>
    <t>Medusen (here: Hydrozoa)</t>
  </si>
  <si>
    <t xml:space="preserve"> </t>
  </si>
  <si>
    <t>Prey</t>
  </si>
  <si>
    <t>Predator</t>
  </si>
  <si>
    <t>Detritus</t>
  </si>
  <si>
    <t>Boreogadus saida</t>
  </si>
  <si>
    <t>Balaena mysticetus</t>
  </si>
  <si>
    <t>Pusa hispida</t>
  </si>
  <si>
    <t>Ursus maritimus</t>
  </si>
  <si>
    <t>Alle alle</t>
  </si>
  <si>
    <t>Uria lomvia</t>
  </si>
  <si>
    <t>Cepphus grylle</t>
  </si>
  <si>
    <t>https://doi.org/10.1007/s00227-001-0775-4</t>
  </si>
  <si>
    <r>
      <t>Auel, .H., Hagen, .W. Mesozooplankton community structure, abundance and biomass in the central Arctic Ocean. </t>
    </r>
    <r>
      <rPr>
        <i/>
        <sz val="11"/>
        <color rgb="FF222222"/>
        <rFont val="Calibri"/>
        <family val="2"/>
        <scheme val="minor"/>
      </rPr>
      <t>Marine Biology</t>
    </r>
    <r>
      <rPr>
        <sz val="11"/>
        <color rgb="FF222222"/>
        <rFont val="Calibri"/>
        <family val="2"/>
        <scheme val="minor"/>
      </rPr>
      <t> </t>
    </r>
    <r>
      <rPr>
        <b/>
        <sz val="11"/>
        <color rgb="FF222222"/>
        <rFont val="Calibri"/>
        <family val="2"/>
        <scheme val="minor"/>
      </rPr>
      <t>140</t>
    </r>
    <r>
      <rPr>
        <sz val="11"/>
        <color rgb="FF222222"/>
        <rFont val="Calibri"/>
        <family val="2"/>
        <scheme val="minor"/>
      </rPr>
      <t>, 1013–1021 (2002)</t>
    </r>
  </si>
  <si>
    <t xml:space="preserve">Limacina spp. </t>
  </si>
  <si>
    <t>Holling Type</t>
  </si>
  <si>
    <t>?</t>
  </si>
  <si>
    <t>Specialisation (1 = specialist; 0 = ne specialist)</t>
  </si>
  <si>
    <t>Primary Producer (1 = yes; 0 = no)</t>
  </si>
  <si>
    <t>NA</t>
  </si>
  <si>
    <t>Turnover rate: respiration rate</t>
  </si>
  <si>
    <t>High level taxa</t>
  </si>
  <si>
    <t>Copepoda</t>
  </si>
  <si>
    <t>Euphausiacea</t>
  </si>
  <si>
    <t>Decapoda</t>
  </si>
  <si>
    <t>Gastropoda</t>
  </si>
  <si>
    <t>Ophiurida</t>
  </si>
  <si>
    <t>Appendicularia</t>
  </si>
  <si>
    <t>Hydrozoa</t>
  </si>
  <si>
    <t>Cetacea</t>
  </si>
  <si>
    <t>Teleostei</t>
  </si>
  <si>
    <t>Pinnipedia</t>
  </si>
  <si>
    <t>Ursidae</t>
  </si>
  <si>
    <t>Aves</t>
  </si>
  <si>
    <t>Auel, Holger. "The ecology of Arctic deep-sea copepods (Euchaetidae and Aetideidae): aspects of their distribution, trophodynamics and effect on the carbon flux." Berichte zur Polarforschung (Reports on Polar Research) 319 (1999).</t>
  </si>
  <si>
    <t>https://epic.awi.de/id/eprint/26498/1/BerPolarforsch1999319.pdf</t>
  </si>
  <si>
    <t>Turnover rate: body mass mg)</t>
  </si>
  <si>
    <t>0.0069 µg O2 d-1 (female) (Auel 1999)</t>
  </si>
  <si>
    <t>3.88 (female) (Auel 1999)</t>
  </si>
  <si>
    <t>0.31 (female of C. abyssalis) (Auel 1999)</t>
  </si>
  <si>
    <r>
      <t xml:space="preserve">4.02 </t>
    </r>
    <r>
      <rPr>
        <sz val="11"/>
        <color theme="1"/>
        <rFont val="Calibri"/>
        <family val="2"/>
      </rPr>
      <t>± 0.49 (male); 9.22 ±</t>
    </r>
    <r>
      <rPr>
        <sz val="11"/>
        <color theme="1"/>
        <rFont val="Calibri"/>
        <family val="2"/>
        <scheme val="minor"/>
      </rPr>
      <t xml:space="preserve"> 1.49 (female) (Auel 1999)</t>
    </r>
  </si>
  <si>
    <t>0.0079 µg O2 d-1 (CV) (Auel 1999)</t>
  </si>
  <si>
    <t>0.0010 µg O2 d-1 (female) (Auel 1999)</t>
  </si>
  <si>
    <t>0.0018 µg O2 d-1 (female) (Auel 1999)</t>
  </si>
  <si>
    <t>Turnover rate: life expectancy</t>
  </si>
  <si>
    <t>3 years (Auel &amp; Werner 2003)</t>
  </si>
  <si>
    <t xml:space="preserve">0.0018 µg O2 d-1 (female) (Auel 1999); 13.0 ± 4.1 nmol O2 h-1 mg-1 DM (female) (Kaiser et al. 2022) </t>
  </si>
  <si>
    <t xml:space="preserve">24.4 ± 8.5 nmol O2 h-1 mg-1 DM (female) (Kaiser et al. 2022) </t>
  </si>
  <si>
    <t xml:space="preserve">14.9 ± 7.3 nmol O2 h-1 mg-1 DM (female) (Kaiser et al. 2022) </t>
  </si>
  <si>
    <t xml:space="preserve">12.4 ± 7.5 nmol O2 h-1 mg-1 DM (female) (Kaiser et al. 2022) </t>
  </si>
  <si>
    <r>
      <t xml:space="preserve">12.1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4.1 [ml O2 day-1 (g DM)-1 (Auel &amp; Werner 2003); 1.07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0.36 Respiration as daily turn-over (% day-1) (Auel &amp; Werner 2003);  28.4 ± 13.5 nmol O2 h-1 mg-1 DM (Kaiser et al. 2022) </t>
    </r>
  </si>
  <si>
    <t xml:space="preserve">20.4 ± 14.2 nmol O2 h-1 mg-1 DM (Kaiser et al. 2022) </t>
  </si>
  <si>
    <t xml:space="preserve">3.92 ± 1.44 Dry mass [mg] (female) (Kaiser et al. 2022) </t>
  </si>
  <si>
    <t xml:space="preserve">1.50 ± 0.61 Dry mass [mg] (female) (Kaiser et al. 2022) </t>
  </si>
  <si>
    <t xml:space="preserve">0.44 ± 0.13 Dry mass [mg] (female) (Kaiser et al. 2022) </t>
  </si>
  <si>
    <t xml:space="preserve">10 - 51 mg DM (Auel &amp; Werner 2003); 8.51 ± 8.89 Dry mass [mg] (Kaiser et al. 2022) </t>
  </si>
  <si>
    <t xml:space="preserve">4.24 ± 5.15 Dry mass [mg] (Kaiser et al. 2022) </t>
  </si>
  <si>
    <t>Kosobokova, K. N., H-J. Hirche, and R. R. Hopcroft. "Reproductive biology of deep-water calanoid copepods from the Arctic Ocean." Marine biology 151.3 (2007): 919-934</t>
  </si>
  <si>
    <t>https://doi.org/10.1007/s00227-006-0528-5</t>
  </si>
  <si>
    <t>0.20 mg C (female) (Kosobokowa et al. 2007)</t>
  </si>
  <si>
    <t>0.023 mg C (female) (Kosobokowa et al. 2007)</t>
  </si>
  <si>
    <t>mean of the 2 Euchaeta values?</t>
  </si>
  <si>
    <t>1 year (Kosobokowa et al. 2010)</t>
  </si>
  <si>
    <t>771.5 ± 78.2 µg DM (C6F); 690.5 ± 30.2 (C6M) (Yamaguchi et al. 2020)</t>
  </si>
  <si>
    <r>
      <t xml:space="preserve">0.137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0.037 mg DW (CVI male); 0.287 ± 0.045 mg DW (CVI female) (Richter 1994)</t>
    </r>
  </si>
  <si>
    <t>0.024 ± 0.004 mg DW (Richter 1994)</t>
  </si>
  <si>
    <r>
      <t xml:space="preserve">15 µg DM (female) (Hirche &amp; Kosobokowa 2003); 12 µg DM (male) (Hirche &amp; Kosobokowa 2003); 0.023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0.009</t>
    </r>
    <r>
      <rPr>
        <sz val="11"/>
        <color theme="1"/>
        <rFont val="Calibri"/>
        <family val="2"/>
        <scheme val="minor"/>
      </rPr>
      <t xml:space="preserve"> mg DM (Richter 1994)</t>
    </r>
  </si>
  <si>
    <t>0.007 ± 0.004 mg DM (for Microcalanus spp., Richter 1994)</t>
  </si>
  <si>
    <t>0.013 ± 0.004 mg DM (for Spinocalanus spp., Richter 1994)</t>
  </si>
  <si>
    <t>0.034 mg C (female) (Kosobokowa et al. 2007); 0.013 ± 0.004 mg DM (for Spinocalanus spp., Richter 1994)</t>
  </si>
  <si>
    <t>0.003 ± 0.000 mg DM (for Oithona spp., Richter 1994)</t>
  </si>
  <si>
    <t>0.002 ± 0.000 mg DM (Richter 1994)</t>
  </si>
  <si>
    <r>
      <t xml:space="preserve">4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1 mg DM (Richter 1994)</t>
    </r>
  </si>
  <si>
    <t>41 ± 32 mg DM (Richter 1994)</t>
  </si>
  <si>
    <t>0.343 mg DM (Richter 1994)</t>
  </si>
  <si>
    <t>0.8 mg DM (for Crystallophyes amygdalina, Richter 1994); 0.8 mg DM (for Dimophyes arctica, Richter 1994); 0.8 mg DM (for Muggiaea bargmannae, Richter 1994)</t>
  </si>
  <si>
    <r>
      <t xml:space="preserve">1.9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1.0</t>
    </r>
    <r>
      <rPr>
        <sz val="11"/>
        <color theme="1"/>
        <rFont val="Calibri"/>
        <family val="2"/>
        <scheme val="minor"/>
      </rPr>
      <t xml:space="preserve"> mg DM (for Aegina citrea, Richter 1994); 2.9 ± 1.2 mg DM (for Aglantha digitale, Richter 1994);</t>
    </r>
  </si>
  <si>
    <t>0.2 mg DM (for Oikopleura vanhoeffeni, Richter 1994)</t>
  </si>
  <si>
    <t>0.062 mg DM (Richter 1994)</t>
  </si>
  <si>
    <t>mean from values in columns R to X?</t>
  </si>
  <si>
    <r>
      <t xml:space="preserve">0.26 mg (male); 0.64 </t>
    </r>
    <r>
      <rPr>
        <sz val="11"/>
        <color theme="1"/>
        <rFont val="Calibri"/>
        <family val="2"/>
      </rPr>
      <t>± 0.08 mg (female)</t>
    </r>
    <r>
      <rPr>
        <sz val="11"/>
        <color theme="1"/>
        <rFont val="Calibri"/>
        <family val="2"/>
        <scheme val="minor"/>
      </rPr>
      <t xml:space="preserve"> (Auel 1999); 0.81 ± 0.12 mg DW (female) (Kosobokowa et al. 2007); 514.48 ± 60.26 µg DW (CVIF); 177.28 ± 12.11 µg DW (CVIM) (Koguchi et al. 2023)</t>
    </r>
  </si>
  <si>
    <r>
      <t xml:space="preserve">0.23 (male); 0.50 </t>
    </r>
    <r>
      <rPr>
        <sz val="11"/>
        <color theme="1"/>
        <rFont val="Calibri"/>
        <family val="2"/>
      </rPr>
      <t>± 0.04 (female)</t>
    </r>
    <r>
      <rPr>
        <sz val="11"/>
        <color theme="1"/>
        <rFont val="Calibri"/>
        <family val="2"/>
        <scheme val="minor"/>
      </rPr>
      <t xml:space="preserve"> (Auel 1999); 0.51 ± 0.14 mg DW (female) (Kosobokowa et al. 2007); 376.40 ± 57.24 µg DW (CVIF); 209.45 ± 34.92 µg DW (CVIM) (Koguchi et al. 2023)</t>
    </r>
  </si>
  <si>
    <r>
      <t xml:space="preserve">0.61 (male); 0.91 </t>
    </r>
    <r>
      <rPr>
        <sz val="11"/>
        <color theme="1"/>
        <rFont val="Calibri"/>
        <family val="2"/>
      </rPr>
      <t>± 0.11 (female)</t>
    </r>
    <r>
      <rPr>
        <sz val="11"/>
        <color theme="1"/>
        <rFont val="Calibri"/>
        <family val="2"/>
        <scheme val="minor"/>
      </rPr>
      <t xml:space="preserve"> (Auel 1999);  0.94 ± 0.21 mg DW (female) (Kosobokowa et al. 2007); 557.75 ± 39.01 µg DW (CVIF); 345.35 ± 54.89 µg DW (CVIM) (Koguchi et al. 2023)</t>
    </r>
  </si>
  <si>
    <t>273.77 ± 93.21 µg DW (CVIF); 109.67 ± 13.39 µg DW (CVIM) (Koguchi et al. 2023)</t>
  </si>
  <si>
    <r>
      <t xml:space="preserve">0.62 (male); 0.60 </t>
    </r>
    <r>
      <rPr>
        <sz val="11"/>
        <color theme="1"/>
        <rFont val="Calibri"/>
        <family val="2"/>
      </rPr>
      <t>± 0.02 (female)</t>
    </r>
    <r>
      <rPr>
        <sz val="11"/>
        <color theme="1"/>
        <rFont val="Calibri"/>
        <family val="2"/>
        <scheme val="minor"/>
      </rPr>
      <t xml:space="preserve"> (Auel 1999);  0.55 ± 0.13 mg DW (female) (Kosobokowa et al. 2007); 402.58 ± 38.59 µg DW (CVIF); 481.75 ± 88.66 µg DW (CVIM) (Koguchi et al. 2023)</t>
    </r>
  </si>
  <si>
    <t>771.5 ± 78.2 µg DM (C6F); 690.5 ± 30.2 (C6M) (for Scaphocalanus magnus, Yamaguchi et al. 2020)</t>
  </si>
  <si>
    <t>0.43 ± 0.12 mg DW (female) (Kosobokowa et al. 2007); 340.2 ± 48.9 µg DM (CVIF); 297.2 ± 33.7 µg DM (CVIM) (Yamaguchi et al. 2022)</t>
  </si>
  <si>
    <r>
      <t xml:space="preserve">1.48 </t>
    </r>
    <r>
      <rPr>
        <sz val="11"/>
        <color theme="1"/>
        <rFont val="Calibri"/>
        <family val="2"/>
      </rPr>
      <t>± 0.34 (male)</t>
    </r>
    <r>
      <rPr>
        <sz val="11"/>
        <color theme="1"/>
        <rFont val="Calibri"/>
        <family val="2"/>
        <scheme val="minor"/>
      </rPr>
      <t xml:space="preserve">; 4.90 </t>
    </r>
    <r>
      <rPr>
        <sz val="11"/>
        <color theme="1"/>
        <rFont val="Calibri"/>
        <family val="2"/>
      </rPr>
      <t>± 1.76 (female)</t>
    </r>
    <r>
      <rPr>
        <sz val="11"/>
        <color theme="1"/>
        <rFont val="Calibri"/>
        <family val="2"/>
        <scheme val="minor"/>
      </rPr>
      <t xml:space="preserve"> (Auel 1999); 6.96 ± 1.62 Dry mass [mg] (female) (Kaiser et al. 2022); 7.96 ± 0.27 mg DW (female) (Kosobokowa et al. 2007); 4965 ± 920 µg DM (CVIF); 2393 ± 391 µg DM (CVIM) (Yamaguchi et al. 2022)</t>
    </r>
  </si>
  <si>
    <t>0.119 mg DM (for Paraeuchaeta barbata, Auel &amp; Hagen 2005)</t>
  </si>
  <si>
    <r>
      <t xml:space="preserve">0.094 mg DM (for Paraeuchaeta barbata CI); 0.13-0.14 mg DM (for Paraeuchaeta barbata CII); 0.26-.029 mg DM (for Paraeuchaeta barbata CIII); 0.14 mg DM (for Paraeuchaeta polaris CII); 0.23 mg DM (for Paraeuchaeta polaris CIII); 0.022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0.002 mg DM (for Paraeuchaeta glacialis/norvegica CI); 0.065 ± 0.020 mg DM (for Paraeuchaeta glacialis/norvegica CII); 0.144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0.018 mg DM (for Paraeuchaeta glacialis/norvegica CIII) (Auel &amp; Hagen 2005)</t>
    </r>
  </si>
  <si>
    <t>17 days - 4 years (Cohen &amp; Morin 1990); 6 years (Cronin et al. 2010)</t>
  </si>
  <si>
    <t>mean of the two Themisto species ?</t>
  </si>
  <si>
    <t>32.3 ± 22.1 mg DM (Böer et al. 2005)</t>
  </si>
  <si>
    <t>25-32 years (for benthic adult Ophiopleura borealis, Dinevik et al. 2025) here, meroplanktic larvcae were sampled with the net!)</t>
  </si>
  <si>
    <t>Mid-level Taxa</t>
  </si>
  <si>
    <t xml:space="preserve"> Calanidae</t>
  </si>
  <si>
    <t>Clausocalanidae</t>
  </si>
  <si>
    <t>Spinocalanidae</t>
  </si>
  <si>
    <t>Euchaetidae</t>
  </si>
  <si>
    <t>Scolecitrichidae</t>
  </si>
  <si>
    <t>Tharybidae</t>
  </si>
  <si>
    <t>Metridinidae</t>
  </si>
  <si>
    <t>Lucicutiidae</t>
  </si>
  <si>
    <t>Heterorhabdidae</t>
  </si>
  <si>
    <t>Augaptilidae</t>
  </si>
  <si>
    <t>Bathypontiidae</t>
  </si>
  <si>
    <t>This group is a mix of everthing "Copepoda/Calanoida"</t>
  </si>
  <si>
    <t>Oithonidae</t>
  </si>
  <si>
    <t>Oncaeidae</t>
  </si>
  <si>
    <t>Harpacticoida</t>
  </si>
  <si>
    <t>Lubbockiidae</t>
  </si>
  <si>
    <t>Mormonillidae</t>
  </si>
  <si>
    <t>Hyperiidae</t>
  </si>
  <si>
    <t>"other" Amphipoda</t>
  </si>
  <si>
    <t>"other" meaning "no Hyperiidae"</t>
  </si>
  <si>
    <t>Euphausiidae</t>
  </si>
  <si>
    <t>Acanthephyridae</t>
  </si>
  <si>
    <t>Pteropoda</t>
  </si>
  <si>
    <t>species list based on Auel &amp; Hagen 2002</t>
  </si>
  <si>
    <t>trophic relation based on expert knowledge</t>
  </si>
  <si>
    <t>700 days (for Parasagitta elegans, Welch et al. 1996), 3 years (for Parasagitta elegans, Grigor et al. 2014), 2 years (for Eukrohnia hamata, Grigor et al. 2017)</t>
  </si>
  <si>
    <t>exceeds 100 years (George 2009)</t>
  </si>
  <si>
    <t>10 years (Karamushko et al. 2021)</t>
  </si>
  <si>
    <t>43 years (Ferguson et al. 2017), 20 years (Usher &amp; Church 1969)</t>
  </si>
  <si>
    <t>20-22 years (Christensen-Dalsgaard et al. 2010)</t>
  </si>
  <si>
    <t>&gt;20 years (Hovinen 2014)</t>
  </si>
  <si>
    <t>25 years (https://animaldiversity.org/accounts/Uria_lomvia/)</t>
  </si>
  <si>
    <t>10 years (Ewins 1986)</t>
  </si>
  <si>
    <t>Turnover rate: 1/life expectancy oder C atome also Respirationsrate</t>
  </si>
  <si>
    <t>Bacteria</t>
  </si>
  <si>
    <t>Synechococcus</t>
  </si>
  <si>
    <t>Picophytoplankton</t>
  </si>
  <si>
    <t>Autotrophic nanoplankton</t>
  </si>
  <si>
    <t>Mixotrophic nanoplankton</t>
  </si>
  <si>
    <t>Heterotrophic nanoplankton</t>
  </si>
  <si>
    <t>Autotrophic microplankton</t>
  </si>
  <si>
    <t>Mixotrophic microplankton</t>
  </si>
  <si>
    <t>Heterotrophic microplankton</t>
  </si>
  <si>
    <t>Mallotus villosus</t>
  </si>
  <si>
    <t>Cyanobakterien</t>
  </si>
  <si>
    <t xml:space="preserve">Toxic Autotrophic Microplankton </t>
  </si>
  <si>
    <t>SEABIRDS</t>
  </si>
  <si>
    <t>MAMMALS</t>
  </si>
  <si>
    <t>FISH</t>
  </si>
  <si>
    <t>Melanogrammus aeglefinus</t>
  </si>
  <si>
    <t>Gadus morhua</t>
  </si>
  <si>
    <t>Reinhardtius hippoglossoides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</si>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</sst>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8" fillId="0" borderId="0" xfId="0" applyFont="1"/>
    <xf numFmtId="0" fontId="0" fillId="0" borderId="0" xfId="0" applyFont="1"/>
    <xf numFmtId="0" fontId="0" fillId="9" borderId="0" xfId="0" applyFill="1"/>
    <xf numFmtId="0" fontId="9" fillId="0" borderId="0" xfId="0" applyFont="1"/>
    <xf numFmtId="0" fontId="0" fillId="10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6038-18A0-4EAF-976E-14405729CAA6}">
  <dimension ref="A1:CM104"/>
  <sheetViews>
    <sheetView tabSelected="1" zoomScale="85" zoomScaleNormal="85" workbookViewId="0">
      <pane xSplit="3" ySplit="17" topLeftCell="D18" activePane="bottomRight" state="frozen"/>
      <selection pane="topRight" activeCell="D1" sqref="D1"/>
      <selection pane="bottomLeft" activeCell="A11" sqref="A11"/>
      <selection pane="bottomRight" activeCell="N7" sqref="N7"/>
    </sheetView>
  </sheetViews>
  <sheetFormatPr defaultColWidth="11.5546875" defaultRowHeight="14.4" x14ac:dyDescent="0.3"/>
  <cols>
    <col min="1" max="1" width="14.44140625" customWidth="1"/>
    <col min="3" max="3" width="24.109375" customWidth="1"/>
  </cols>
  <sheetData>
    <row r="1" spans="1:83" x14ac:dyDescent="0.3">
      <c r="A1" s="1" t="s">
        <v>42</v>
      </c>
    </row>
    <row r="2" spans="1:83" x14ac:dyDescent="0.3">
      <c r="A2" t="s">
        <v>177</v>
      </c>
      <c r="AV2" t="s">
        <v>165</v>
      </c>
      <c r="AW2" t="s">
        <v>165</v>
      </c>
      <c r="BG2" t="s">
        <v>173</v>
      </c>
    </row>
    <row r="3" spans="1:83" x14ac:dyDescent="0.3">
      <c r="A3" t="s">
        <v>178</v>
      </c>
      <c r="T3" s="6">
        <v>17</v>
      </c>
      <c r="Y3" s="7">
        <v>18</v>
      </c>
      <c r="AC3">
        <v>19</v>
      </c>
      <c r="AE3">
        <v>20</v>
      </c>
      <c r="AJ3" s="4">
        <v>24</v>
      </c>
      <c r="AM3" s="5">
        <v>25</v>
      </c>
      <c r="AS3">
        <v>30</v>
      </c>
      <c r="AX3">
        <v>34</v>
      </c>
      <c r="BR3">
        <v>52</v>
      </c>
      <c r="BU3" t="s">
        <v>202</v>
      </c>
      <c r="BZ3" t="s">
        <v>200</v>
      </c>
      <c r="CC3" t="s">
        <v>201</v>
      </c>
    </row>
    <row r="4" spans="1:83" x14ac:dyDescent="0.3"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  <c r="AZ4">
        <v>49</v>
      </c>
      <c r="BA4">
        <v>50</v>
      </c>
      <c r="BB4">
        <v>51</v>
      </c>
      <c r="BC4">
        <v>52</v>
      </c>
      <c r="BD4">
        <v>53</v>
      </c>
      <c r="BE4">
        <v>54</v>
      </c>
      <c r="BF4">
        <v>55</v>
      </c>
      <c r="BG4">
        <v>56</v>
      </c>
      <c r="BH4">
        <v>57</v>
      </c>
      <c r="BI4">
        <v>58</v>
      </c>
      <c r="BJ4">
        <v>59</v>
      </c>
      <c r="BK4">
        <v>60</v>
      </c>
      <c r="BL4">
        <v>61</v>
      </c>
      <c r="BM4">
        <v>62</v>
      </c>
      <c r="BN4">
        <v>63</v>
      </c>
      <c r="BO4">
        <v>64</v>
      </c>
      <c r="BP4">
        <v>65</v>
      </c>
      <c r="BQ4">
        <v>66</v>
      </c>
      <c r="BR4">
        <v>67</v>
      </c>
      <c r="BS4">
        <v>68</v>
      </c>
      <c r="BT4">
        <v>69</v>
      </c>
      <c r="BU4">
        <v>70</v>
      </c>
      <c r="BV4">
        <v>71</v>
      </c>
      <c r="BW4">
        <v>72</v>
      </c>
      <c r="BX4">
        <v>73</v>
      </c>
      <c r="BY4">
        <v>74</v>
      </c>
      <c r="BZ4">
        <v>75</v>
      </c>
      <c r="CA4">
        <v>76</v>
      </c>
      <c r="CB4">
        <v>77</v>
      </c>
      <c r="CC4">
        <v>78</v>
      </c>
      <c r="CD4">
        <v>79</v>
      </c>
      <c r="CE4">
        <v>80</v>
      </c>
    </row>
    <row r="5" spans="1:83" x14ac:dyDescent="0.3">
      <c r="C5" t="s">
        <v>80</v>
      </c>
      <c r="D5" t="s">
        <v>63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81</v>
      </c>
      <c r="U5" t="s">
        <v>81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81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  <c r="AS5" t="s">
        <v>81</v>
      </c>
      <c r="AT5" t="s">
        <v>81</v>
      </c>
      <c r="AU5" t="s">
        <v>81</v>
      </c>
      <c r="AV5" t="s">
        <v>81</v>
      </c>
      <c r="AW5" t="s">
        <v>81</v>
      </c>
      <c r="AX5" t="s">
        <v>81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30</v>
      </c>
      <c r="BF5" t="s">
        <v>31</v>
      </c>
      <c r="BG5" t="s">
        <v>32</v>
      </c>
      <c r="BH5" t="s">
        <v>32</v>
      </c>
      <c r="BI5" t="s">
        <v>32</v>
      </c>
      <c r="BJ5" t="s">
        <v>82</v>
      </c>
      <c r="BK5" t="s">
        <v>83</v>
      </c>
      <c r="BL5" t="s">
        <v>37</v>
      </c>
      <c r="BM5" t="s">
        <v>84</v>
      </c>
      <c r="BN5" t="s">
        <v>84</v>
      </c>
      <c r="BO5" t="s">
        <v>85</v>
      </c>
      <c r="BP5" t="s">
        <v>40</v>
      </c>
      <c r="BQ5" t="s">
        <v>86</v>
      </c>
      <c r="BR5" t="s">
        <v>87</v>
      </c>
      <c r="BS5" t="s">
        <v>87</v>
      </c>
      <c r="BT5" t="s">
        <v>87</v>
      </c>
      <c r="BW5" t="s">
        <v>89</v>
      </c>
      <c r="BZ5" t="s">
        <v>92</v>
      </c>
      <c r="CA5" t="s">
        <v>92</v>
      </c>
      <c r="CB5" t="s">
        <v>92</v>
      </c>
      <c r="CC5" t="s">
        <v>91</v>
      </c>
      <c r="CD5" t="s">
        <v>90</v>
      </c>
      <c r="CE5" t="s">
        <v>88</v>
      </c>
    </row>
    <row r="6" spans="1:83" x14ac:dyDescent="0.3">
      <c r="C6" t="s">
        <v>153</v>
      </c>
      <c r="D6" t="s">
        <v>63</v>
      </c>
      <c r="F6" t="s">
        <v>198</v>
      </c>
      <c r="O6" t="s">
        <v>154</v>
      </c>
      <c r="P6" t="s">
        <v>154</v>
      </c>
      <c r="Q6" t="s">
        <v>154</v>
      </c>
      <c r="R6" t="s">
        <v>155</v>
      </c>
      <c r="S6" t="s">
        <v>155</v>
      </c>
      <c r="T6" t="s">
        <v>156</v>
      </c>
      <c r="U6" t="s">
        <v>156</v>
      </c>
      <c r="V6" t="s">
        <v>156</v>
      </c>
      <c r="W6" t="s">
        <v>156</v>
      </c>
      <c r="X6" t="s">
        <v>156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157</v>
      </c>
      <c r="AH6" t="s">
        <v>157</v>
      </c>
      <c r="AI6" t="s">
        <v>157</v>
      </c>
      <c r="AJ6" t="s">
        <v>158</v>
      </c>
      <c r="AK6" t="s">
        <v>158</v>
      </c>
      <c r="AL6" t="s">
        <v>158</v>
      </c>
      <c r="AM6" t="s">
        <v>159</v>
      </c>
      <c r="AN6" t="s">
        <v>159</v>
      </c>
      <c r="AO6" t="s">
        <v>160</v>
      </c>
      <c r="AP6" t="s">
        <v>161</v>
      </c>
      <c r="AQ6" t="s">
        <v>162</v>
      </c>
      <c r="AR6" t="s">
        <v>162</v>
      </c>
      <c r="AS6" s="7" t="s">
        <v>163</v>
      </c>
      <c r="AT6" t="s">
        <v>163</v>
      </c>
      <c r="AU6" t="s">
        <v>164</v>
      </c>
      <c r="AX6" t="s">
        <v>166</v>
      </c>
      <c r="AY6" t="s">
        <v>166</v>
      </c>
      <c r="AZ6" t="s">
        <v>167</v>
      </c>
      <c r="BA6" t="s">
        <v>168</v>
      </c>
      <c r="BB6" t="s">
        <v>168</v>
      </c>
      <c r="BC6" t="s">
        <v>169</v>
      </c>
      <c r="BD6" t="s">
        <v>170</v>
      </c>
      <c r="BE6" t="s">
        <v>30</v>
      </c>
      <c r="BF6" t="s">
        <v>31</v>
      </c>
      <c r="BG6" t="s">
        <v>172</v>
      </c>
      <c r="BH6" t="s">
        <v>171</v>
      </c>
      <c r="BI6" t="s">
        <v>171</v>
      </c>
      <c r="BJ6" t="s">
        <v>174</v>
      </c>
      <c r="BK6" t="s">
        <v>175</v>
      </c>
      <c r="BL6" t="s">
        <v>37</v>
      </c>
      <c r="BM6" t="s">
        <v>176</v>
      </c>
      <c r="BN6" t="s">
        <v>176</v>
      </c>
      <c r="BO6" t="s">
        <v>85</v>
      </c>
      <c r="BP6" t="s">
        <v>40</v>
      </c>
      <c r="BQ6" t="s">
        <v>86</v>
      </c>
      <c r="BR6" t="s">
        <v>87</v>
      </c>
      <c r="BS6" t="s">
        <v>87</v>
      </c>
      <c r="BT6" t="s">
        <v>87</v>
      </c>
      <c r="BW6" t="s">
        <v>89</v>
      </c>
      <c r="BZ6" t="s">
        <v>92</v>
      </c>
      <c r="CA6" t="s">
        <v>92</v>
      </c>
      <c r="CB6" t="s">
        <v>92</v>
      </c>
      <c r="CC6" t="s">
        <v>91</v>
      </c>
      <c r="CD6" t="s">
        <v>90</v>
      </c>
      <c r="CE6" t="s">
        <v>88</v>
      </c>
    </row>
    <row r="7" spans="1:83" x14ac:dyDescent="0.3">
      <c r="B7" s="2" t="s">
        <v>62</v>
      </c>
      <c r="C7" s="1" t="s">
        <v>43</v>
      </c>
      <c r="D7" t="s">
        <v>63</v>
      </c>
      <c r="E7" s="11" t="s">
        <v>188</v>
      </c>
      <c r="F7" s="11" t="s">
        <v>189</v>
      </c>
      <c r="G7" s="11" t="s">
        <v>190</v>
      </c>
      <c r="H7" s="11" t="s">
        <v>191</v>
      </c>
      <c r="I7" s="11" t="s">
        <v>192</v>
      </c>
      <c r="J7" s="11" t="s">
        <v>193</v>
      </c>
      <c r="K7" s="11" t="s">
        <v>194</v>
      </c>
      <c r="L7" s="11" t="s">
        <v>199</v>
      </c>
      <c r="M7" s="11" t="s">
        <v>195</v>
      </c>
      <c r="N7" s="11" t="s">
        <v>196</v>
      </c>
      <c r="O7" t="s">
        <v>0</v>
      </c>
      <c r="P7" t="s">
        <v>1</v>
      </c>
      <c r="Q7" t="s">
        <v>2</v>
      </c>
      <c r="R7" t="s">
        <v>3</v>
      </c>
      <c r="S7" t="s">
        <v>4</v>
      </c>
      <c r="T7" s="6" t="s">
        <v>5</v>
      </c>
      <c r="U7" s="6" t="s">
        <v>6</v>
      </c>
      <c r="V7" s="6" t="s">
        <v>45</v>
      </c>
      <c r="W7" s="6" t="s">
        <v>7</v>
      </c>
      <c r="X7" s="6" t="s">
        <v>8</v>
      </c>
      <c r="Y7" s="7" t="s">
        <v>9</v>
      </c>
      <c r="Z7" s="7" t="s">
        <v>10</v>
      </c>
      <c r="AA7" s="7" t="s">
        <v>11</v>
      </c>
      <c r="AB7" s="7" t="s">
        <v>12</v>
      </c>
      <c r="AC7" s="8" t="s">
        <v>46</v>
      </c>
      <c r="AD7" s="8" t="s">
        <v>47</v>
      </c>
      <c r="AE7" s="5" t="s">
        <v>48</v>
      </c>
      <c r="AF7" s="5" t="s">
        <v>13</v>
      </c>
      <c r="AG7" t="s">
        <v>14</v>
      </c>
      <c r="AH7" t="s">
        <v>49</v>
      </c>
      <c r="AI7" t="s">
        <v>50</v>
      </c>
      <c r="AJ7" s="4" t="s">
        <v>15</v>
      </c>
      <c r="AK7" s="4" t="s">
        <v>16</v>
      </c>
      <c r="AL7" s="4" t="s">
        <v>51</v>
      </c>
      <c r="AM7" s="5" t="s">
        <v>17</v>
      </c>
      <c r="AN7" s="5" t="s">
        <v>18</v>
      </c>
      <c r="AO7" t="s">
        <v>19</v>
      </c>
      <c r="AP7" t="s">
        <v>20</v>
      </c>
      <c r="AQ7" t="s">
        <v>52</v>
      </c>
      <c r="AR7" t="s">
        <v>21</v>
      </c>
      <c r="AS7" s="7" t="s">
        <v>22</v>
      </c>
      <c r="AT7" s="7" t="s">
        <v>23</v>
      </c>
      <c r="AU7" t="s">
        <v>24</v>
      </c>
      <c r="AV7" t="s">
        <v>53</v>
      </c>
      <c r="AW7" t="s">
        <v>54</v>
      </c>
      <c r="AX7" s="15" t="s">
        <v>25</v>
      </c>
      <c r="AY7" s="9" t="s">
        <v>26</v>
      </c>
      <c r="AZ7" s="9" t="s">
        <v>27</v>
      </c>
      <c r="BA7" t="s">
        <v>55</v>
      </c>
      <c r="BB7" t="s">
        <v>28</v>
      </c>
      <c r="BC7" t="s">
        <v>56</v>
      </c>
      <c r="BD7" t="s">
        <v>29</v>
      </c>
      <c r="BE7" t="s">
        <v>30</v>
      </c>
      <c r="BF7" t="s">
        <v>31</v>
      </c>
      <c r="BG7" t="s">
        <v>32</v>
      </c>
      <c r="BH7" t="s">
        <v>33</v>
      </c>
      <c r="BI7" t="s">
        <v>34</v>
      </c>
      <c r="BJ7" t="s">
        <v>35</v>
      </c>
      <c r="BK7" t="s">
        <v>36</v>
      </c>
      <c r="BL7" t="s">
        <v>37</v>
      </c>
      <c r="BM7" t="s">
        <v>38</v>
      </c>
      <c r="BN7" t="s">
        <v>73</v>
      </c>
      <c r="BO7" t="s">
        <v>39</v>
      </c>
      <c r="BP7" t="s">
        <v>40</v>
      </c>
      <c r="BQ7" t="s">
        <v>57</v>
      </c>
      <c r="BR7" s="8" t="s">
        <v>58</v>
      </c>
      <c r="BS7" s="13" t="s">
        <v>59</v>
      </c>
      <c r="BT7" s="8" t="s">
        <v>41</v>
      </c>
      <c r="BU7" s="13" t="s">
        <v>203</v>
      </c>
      <c r="BV7" s="13" t="s">
        <v>197</v>
      </c>
      <c r="BW7" t="s">
        <v>64</v>
      </c>
      <c r="BX7" t="s">
        <v>204</v>
      </c>
      <c r="BY7" t="s">
        <v>205</v>
      </c>
      <c r="BZ7" t="s">
        <v>68</v>
      </c>
      <c r="CA7" t="s">
        <v>69</v>
      </c>
      <c r="CB7" t="s">
        <v>70</v>
      </c>
      <c r="CC7" t="s">
        <v>67</v>
      </c>
      <c r="CD7" t="s">
        <v>66</v>
      </c>
      <c r="CE7" t="s">
        <v>65</v>
      </c>
    </row>
    <row r="8" spans="1:83" x14ac:dyDescent="0.3">
      <c r="A8" s="2" t="s">
        <v>61</v>
      </c>
      <c r="C8" s="1" t="s">
        <v>44</v>
      </c>
      <c r="D8" s="2">
        <v>1</v>
      </c>
      <c r="E8">
        <v>6</v>
      </c>
      <c r="F8">
        <v>160572</v>
      </c>
      <c r="G8" s="2">
        <v>2</v>
      </c>
      <c r="H8" s="2">
        <v>3</v>
      </c>
      <c r="I8" s="2">
        <v>4</v>
      </c>
      <c r="J8" s="2">
        <v>5</v>
      </c>
      <c r="K8" s="2">
        <v>7</v>
      </c>
      <c r="L8" s="2">
        <v>8</v>
      </c>
      <c r="M8" s="2">
        <v>9</v>
      </c>
      <c r="N8" s="2">
        <v>10</v>
      </c>
      <c r="O8">
        <v>104464</v>
      </c>
      <c r="P8">
        <v>104465</v>
      </c>
      <c r="Q8">
        <v>104467</v>
      </c>
      <c r="R8">
        <v>104517</v>
      </c>
      <c r="S8">
        <v>104513</v>
      </c>
      <c r="T8">
        <v>254612</v>
      </c>
      <c r="U8">
        <v>104236</v>
      </c>
      <c r="V8">
        <v>104851</v>
      </c>
      <c r="W8">
        <v>254613</v>
      </c>
      <c r="X8">
        <v>104852</v>
      </c>
      <c r="Y8">
        <v>104075</v>
      </c>
      <c r="Z8">
        <v>104272</v>
      </c>
      <c r="AA8">
        <v>104270</v>
      </c>
      <c r="AB8">
        <v>104292</v>
      </c>
      <c r="AC8">
        <v>254602</v>
      </c>
      <c r="AD8">
        <v>237965</v>
      </c>
      <c r="AE8">
        <v>104339</v>
      </c>
      <c r="AF8">
        <v>104116</v>
      </c>
      <c r="AG8">
        <v>104174</v>
      </c>
      <c r="AH8">
        <v>104560</v>
      </c>
      <c r="AI8">
        <v>1507271</v>
      </c>
      <c r="AJ8">
        <v>104798</v>
      </c>
      <c r="AK8">
        <v>104790</v>
      </c>
      <c r="AL8">
        <v>1509944</v>
      </c>
      <c r="AM8">
        <v>362051</v>
      </c>
      <c r="AN8">
        <v>104895</v>
      </c>
      <c r="AO8">
        <v>104632</v>
      </c>
      <c r="AP8">
        <v>220910</v>
      </c>
      <c r="AQ8">
        <v>254603</v>
      </c>
      <c r="AR8">
        <v>104579</v>
      </c>
      <c r="AS8">
        <v>104422</v>
      </c>
      <c r="AT8">
        <v>104372</v>
      </c>
      <c r="AU8">
        <v>104459</v>
      </c>
      <c r="AV8">
        <v>1100</v>
      </c>
      <c r="AW8" s="10">
        <v>11001</v>
      </c>
      <c r="AX8">
        <v>106642</v>
      </c>
      <c r="AY8">
        <v>106656</v>
      </c>
      <c r="AZ8">
        <v>128690</v>
      </c>
      <c r="BA8">
        <v>1102</v>
      </c>
      <c r="BB8">
        <v>115484</v>
      </c>
      <c r="BC8">
        <v>346121</v>
      </c>
      <c r="BD8">
        <v>119816</v>
      </c>
      <c r="BE8">
        <v>1078</v>
      </c>
      <c r="BF8">
        <v>1131</v>
      </c>
      <c r="BG8">
        <v>1135</v>
      </c>
      <c r="BH8">
        <v>103259</v>
      </c>
      <c r="BI8">
        <v>156452</v>
      </c>
      <c r="BJ8">
        <v>110709</v>
      </c>
      <c r="BK8">
        <v>107590</v>
      </c>
      <c r="BL8">
        <v>883</v>
      </c>
      <c r="BM8">
        <v>139178</v>
      </c>
      <c r="BN8">
        <v>138122</v>
      </c>
      <c r="BO8">
        <v>123200</v>
      </c>
      <c r="BP8">
        <v>2081</v>
      </c>
      <c r="BQ8">
        <v>103357</v>
      </c>
      <c r="BR8">
        <v>1371</v>
      </c>
      <c r="BS8">
        <v>1337</v>
      </c>
      <c r="BT8">
        <v>117267</v>
      </c>
      <c r="BU8">
        <v>126437</v>
      </c>
      <c r="BV8">
        <v>126735</v>
      </c>
      <c r="BW8">
        <v>126433</v>
      </c>
      <c r="BX8">
        <v>126436</v>
      </c>
      <c r="BY8">
        <v>127144</v>
      </c>
      <c r="BZ8">
        <v>137129</v>
      </c>
      <c r="CA8">
        <v>137134</v>
      </c>
      <c r="CB8">
        <v>137130</v>
      </c>
      <c r="CC8">
        <v>137085</v>
      </c>
      <c r="CD8">
        <v>159021</v>
      </c>
      <c r="CE8">
        <v>137086</v>
      </c>
    </row>
    <row r="9" spans="1:83" x14ac:dyDescent="0.3">
      <c r="A9" s="2"/>
      <c r="C9" s="1" t="s">
        <v>103</v>
      </c>
      <c r="D9" t="s">
        <v>78</v>
      </c>
      <c r="E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  <c r="AI9" t="s">
        <v>78</v>
      </c>
      <c r="AJ9" t="s">
        <v>78</v>
      </c>
      <c r="AK9" t="s">
        <v>78</v>
      </c>
      <c r="AL9" t="s">
        <v>78</v>
      </c>
      <c r="AM9" t="s">
        <v>78</v>
      </c>
      <c r="AN9" t="s">
        <v>78</v>
      </c>
      <c r="AO9" t="s">
        <v>78</v>
      </c>
      <c r="AP9" t="s">
        <v>78</v>
      </c>
      <c r="AQ9" t="s">
        <v>78</v>
      </c>
      <c r="AR9" t="s">
        <v>78</v>
      </c>
      <c r="AS9" t="s">
        <v>78</v>
      </c>
      <c r="AT9" t="s">
        <v>78</v>
      </c>
      <c r="AU9" t="s">
        <v>78</v>
      </c>
      <c r="AV9" t="s">
        <v>78</v>
      </c>
      <c r="AW9" t="s">
        <v>78</v>
      </c>
      <c r="AX9" t="s">
        <v>121</v>
      </c>
      <c r="AY9" t="s">
        <v>78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149</v>
      </c>
      <c r="BF9" t="s">
        <v>78</v>
      </c>
      <c r="BG9" t="s">
        <v>78</v>
      </c>
      <c r="BH9" t="s">
        <v>78</v>
      </c>
      <c r="BI9" t="s">
        <v>104</v>
      </c>
      <c r="BJ9" t="s">
        <v>78</v>
      </c>
      <c r="BK9" t="s">
        <v>78</v>
      </c>
      <c r="BL9" t="s">
        <v>78</v>
      </c>
      <c r="BM9" t="s">
        <v>78</v>
      </c>
      <c r="BN9" t="s">
        <v>78</v>
      </c>
      <c r="BO9" t="s">
        <v>152</v>
      </c>
      <c r="BP9" t="s">
        <v>179</v>
      </c>
      <c r="BQ9" t="s">
        <v>78</v>
      </c>
      <c r="BR9" t="s">
        <v>78</v>
      </c>
      <c r="BS9" t="s">
        <v>78</v>
      </c>
      <c r="BT9" t="s">
        <v>78</v>
      </c>
      <c r="BW9" t="s">
        <v>181</v>
      </c>
      <c r="BZ9" t="s">
        <v>184</v>
      </c>
      <c r="CA9" t="s">
        <v>185</v>
      </c>
      <c r="CB9" t="s">
        <v>186</v>
      </c>
      <c r="CC9" t="s">
        <v>183</v>
      </c>
      <c r="CD9" t="s">
        <v>182</v>
      </c>
      <c r="CE9" t="s">
        <v>180</v>
      </c>
    </row>
    <row r="10" spans="1:83" x14ac:dyDescent="0.3">
      <c r="A10" s="2"/>
      <c r="C10" s="1" t="s">
        <v>95</v>
      </c>
      <c r="D10" t="s">
        <v>78</v>
      </c>
      <c r="E10" t="s">
        <v>78</v>
      </c>
      <c r="O10" t="s">
        <v>113</v>
      </c>
      <c r="P10" t="s">
        <v>112</v>
      </c>
      <c r="Q10" t="s">
        <v>111</v>
      </c>
      <c r="R10" t="s">
        <v>125</v>
      </c>
      <c r="S10" t="s">
        <v>126</v>
      </c>
      <c r="T10" t="s">
        <v>127</v>
      </c>
      <c r="U10" t="s">
        <v>127</v>
      </c>
      <c r="V10" t="s">
        <v>128</v>
      </c>
      <c r="W10" t="s">
        <v>127</v>
      </c>
      <c r="X10" t="s">
        <v>127</v>
      </c>
      <c r="Y10" t="s">
        <v>138</v>
      </c>
      <c r="Z10" t="s">
        <v>143</v>
      </c>
      <c r="AA10" t="s">
        <v>142</v>
      </c>
      <c r="AB10" t="s">
        <v>139</v>
      </c>
      <c r="AC10" t="s">
        <v>141</v>
      </c>
      <c r="AD10" t="s">
        <v>140</v>
      </c>
      <c r="AE10" t="s">
        <v>97</v>
      </c>
      <c r="AF10" t="s">
        <v>98</v>
      </c>
      <c r="AG10" t="s">
        <v>120</v>
      </c>
      <c r="AH10" t="s">
        <v>146</v>
      </c>
      <c r="AI10" t="s">
        <v>99</v>
      </c>
      <c r="AJ10" t="s">
        <v>122</v>
      </c>
      <c r="AK10" t="s">
        <v>144</v>
      </c>
      <c r="AL10" t="s">
        <v>124</v>
      </c>
      <c r="AM10" t="s">
        <v>119</v>
      </c>
      <c r="AN10" t="s">
        <v>78</v>
      </c>
      <c r="AO10" t="s">
        <v>123</v>
      </c>
      <c r="AP10" t="s">
        <v>78</v>
      </c>
      <c r="AQ10" t="s">
        <v>78</v>
      </c>
      <c r="AR10" t="s">
        <v>145</v>
      </c>
      <c r="AS10" t="s">
        <v>78</v>
      </c>
      <c r="AT10" t="s">
        <v>118</v>
      </c>
      <c r="AU10" t="s">
        <v>78</v>
      </c>
      <c r="AV10" t="s">
        <v>147</v>
      </c>
      <c r="AW10" t="s">
        <v>148</v>
      </c>
      <c r="AX10" t="s">
        <v>129</v>
      </c>
      <c r="AY10" t="s">
        <v>129</v>
      </c>
      <c r="AZ10" t="s">
        <v>130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150</v>
      </c>
      <c r="BH10" t="s">
        <v>115</v>
      </c>
      <c r="BI10" t="s">
        <v>114</v>
      </c>
      <c r="BJ10" t="s">
        <v>131</v>
      </c>
      <c r="BK10" t="s">
        <v>132</v>
      </c>
      <c r="BL10" t="s">
        <v>137</v>
      </c>
      <c r="BM10" t="s">
        <v>151</v>
      </c>
      <c r="BN10" t="s">
        <v>133</v>
      </c>
      <c r="BO10" t="s">
        <v>78</v>
      </c>
      <c r="BP10" t="s">
        <v>78</v>
      </c>
      <c r="BQ10" t="s">
        <v>136</v>
      </c>
      <c r="BR10" t="s">
        <v>134</v>
      </c>
      <c r="BS10" t="s">
        <v>135</v>
      </c>
      <c r="BT10" t="s">
        <v>78</v>
      </c>
      <c r="BW10" t="s">
        <v>78</v>
      </c>
      <c r="BZ10" t="s">
        <v>78</v>
      </c>
      <c r="CA10" t="s">
        <v>78</v>
      </c>
      <c r="CB10" t="s">
        <v>78</v>
      </c>
      <c r="CC10" t="s">
        <v>78</v>
      </c>
      <c r="CD10" t="s">
        <v>78</v>
      </c>
      <c r="CE10" t="s">
        <v>78</v>
      </c>
    </row>
    <row r="11" spans="1:83" x14ac:dyDescent="0.3">
      <c r="A11" s="2"/>
      <c r="C11" s="1" t="s">
        <v>79</v>
      </c>
      <c r="D11" t="s">
        <v>78</v>
      </c>
      <c r="E11" t="s">
        <v>78</v>
      </c>
      <c r="O11" t="s">
        <v>106</v>
      </c>
      <c r="P11" t="s">
        <v>107</v>
      </c>
      <c r="Q11" t="s">
        <v>108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138</v>
      </c>
      <c r="Z11" t="s">
        <v>96</v>
      </c>
      <c r="AA11" t="s">
        <v>78</v>
      </c>
      <c r="AB11" t="s">
        <v>78</v>
      </c>
      <c r="AC11" t="s">
        <v>100</v>
      </c>
      <c r="AD11" t="s">
        <v>78</v>
      </c>
      <c r="AE11" t="s">
        <v>102</v>
      </c>
      <c r="AF11" t="s">
        <v>78</v>
      </c>
      <c r="AG11" t="s">
        <v>120</v>
      </c>
      <c r="AH11" t="s">
        <v>105</v>
      </c>
      <c r="AI11" t="s">
        <v>101</v>
      </c>
      <c r="AJ11" t="s">
        <v>78</v>
      </c>
      <c r="AK11" t="s">
        <v>78</v>
      </c>
      <c r="AL11" t="s">
        <v>78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78</v>
      </c>
      <c r="AS11" t="s">
        <v>78</v>
      </c>
      <c r="AT11" t="s">
        <v>78</v>
      </c>
      <c r="AU11" t="s">
        <v>78</v>
      </c>
      <c r="AV11" t="s">
        <v>78</v>
      </c>
      <c r="AW11" t="s">
        <v>78</v>
      </c>
      <c r="AX11" t="s">
        <v>78</v>
      </c>
      <c r="AY11" t="s">
        <v>78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150</v>
      </c>
      <c r="BH11" t="s">
        <v>110</v>
      </c>
      <c r="BI11" t="s">
        <v>109</v>
      </c>
      <c r="BJ11" t="s">
        <v>78</v>
      </c>
      <c r="BK11" t="s">
        <v>78</v>
      </c>
      <c r="BL11" t="s">
        <v>78</v>
      </c>
      <c r="BM11" t="s">
        <v>78</v>
      </c>
      <c r="BN11" t="s">
        <v>78</v>
      </c>
      <c r="BO11" t="s">
        <v>78</v>
      </c>
      <c r="BP11" t="s">
        <v>78</v>
      </c>
      <c r="BQ11" t="s">
        <v>78</v>
      </c>
      <c r="BR11" t="s">
        <v>78</v>
      </c>
      <c r="BS11" t="s">
        <v>78</v>
      </c>
      <c r="BT11" t="s">
        <v>78</v>
      </c>
      <c r="BW11" t="s">
        <v>78</v>
      </c>
      <c r="BZ11" t="s">
        <v>78</v>
      </c>
      <c r="CA11" t="s">
        <v>78</v>
      </c>
      <c r="CB11" t="s">
        <v>78</v>
      </c>
      <c r="CC11" t="s">
        <v>78</v>
      </c>
      <c r="CD11" t="s">
        <v>78</v>
      </c>
      <c r="CE11" t="s">
        <v>78</v>
      </c>
    </row>
    <row r="12" spans="1:83" x14ac:dyDescent="0.3">
      <c r="A12" s="2"/>
      <c r="C12" s="1" t="s">
        <v>187</v>
      </c>
      <c r="D12">
        <v>0.1</v>
      </c>
      <c r="E12">
        <v>1</v>
      </c>
      <c r="O12">
        <v>1.57E-3</v>
      </c>
      <c r="P12">
        <v>1.4E-3</v>
      </c>
      <c r="Q12">
        <v>8.0000000000000004E-4</v>
      </c>
      <c r="R12">
        <v>2.7000000000000001E-3</v>
      </c>
      <c r="S12">
        <v>2E-3</v>
      </c>
      <c r="T12">
        <v>6.9999999999999999E-4</v>
      </c>
      <c r="U12">
        <v>6.9999999999999999E-4</v>
      </c>
      <c r="V12">
        <v>6.9999999999999999E-4</v>
      </c>
      <c r="W12">
        <v>6.9999999999999999E-4</v>
      </c>
      <c r="X12">
        <v>6.9999999999999999E-4</v>
      </c>
      <c r="Y12">
        <v>6.9999999999999999E-4</v>
      </c>
      <c r="Z12">
        <v>6.9999999999999999E-4</v>
      </c>
      <c r="AA12">
        <v>6.9999999999999999E-4</v>
      </c>
      <c r="AB12">
        <v>6.9999999999999999E-4</v>
      </c>
      <c r="AC12">
        <v>6.9999999999999999E-4</v>
      </c>
      <c r="AD12">
        <v>6.9999999999999999E-4</v>
      </c>
      <c r="AE12">
        <v>6.9999999999999999E-4</v>
      </c>
      <c r="AF12">
        <v>6.9999999999999999E-4</v>
      </c>
      <c r="AG12">
        <v>1E-3</v>
      </c>
      <c r="AH12">
        <v>6.9999999999999999E-4</v>
      </c>
      <c r="AI12">
        <v>5.9999999999999995E-4</v>
      </c>
      <c r="AJ12">
        <v>6.9999999999999999E-4</v>
      </c>
      <c r="AK12">
        <v>6.9999999999999999E-4</v>
      </c>
      <c r="AL12">
        <v>6.9999999999999999E-4</v>
      </c>
      <c r="AM12">
        <v>6.9999999999999999E-4</v>
      </c>
      <c r="AN12">
        <v>6.9999999999999999E-4</v>
      </c>
      <c r="AO12">
        <v>1.1999999999999999E-3</v>
      </c>
      <c r="AP12">
        <v>1.5E-3</v>
      </c>
      <c r="AQ12">
        <v>8.9999999999999998E-4</v>
      </c>
      <c r="AR12">
        <v>0.02</v>
      </c>
      <c r="AS12">
        <v>6.9999999999999999E-4</v>
      </c>
      <c r="AT12">
        <v>6.9999999999999999E-4</v>
      </c>
      <c r="AU12">
        <v>4.0000000000000001E-3</v>
      </c>
      <c r="AV12">
        <v>7.0000000000000007E-2</v>
      </c>
      <c r="AW12">
        <v>0.02</v>
      </c>
      <c r="AX12">
        <v>2E-3</v>
      </c>
      <c r="AY12">
        <v>2E-3</v>
      </c>
      <c r="AZ12">
        <v>2E-3</v>
      </c>
      <c r="BA12">
        <v>2E-3</v>
      </c>
      <c r="BB12">
        <v>4.0000000000000001E-3</v>
      </c>
      <c r="BC12">
        <v>1E-3</v>
      </c>
      <c r="BD12">
        <v>1.1999999999999999E-3</v>
      </c>
      <c r="BE12">
        <v>6.8000000000000005E-4</v>
      </c>
      <c r="BF12">
        <v>2.9999999999999997E-4</v>
      </c>
      <c r="BG12">
        <v>5.0000000000000001E-3</v>
      </c>
      <c r="BH12">
        <v>2E-3</v>
      </c>
      <c r="BI12">
        <v>1.1999999999999999E-3</v>
      </c>
      <c r="BJ12">
        <v>2E-3</v>
      </c>
      <c r="BK12">
        <v>6.9999999999999999E-4</v>
      </c>
      <c r="BL12">
        <v>1E-3</v>
      </c>
      <c r="BM12">
        <v>2E-3</v>
      </c>
      <c r="BN12">
        <v>4.0000000000000001E-3</v>
      </c>
      <c r="BO12">
        <v>9.6000000000000002E-5</v>
      </c>
      <c r="BP12">
        <v>2E-3</v>
      </c>
      <c r="BQ12">
        <v>0.05</v>
      </c>
      <c r="BR12">
        <v>7.0000000000000001E-3</v>
      </c>
      <c r="BS12">
        <v>7.0000000000000001E-3</v>
      </c>
      <c r="BT12">
        <v>7.0000000000000001E-3</v>
      </c>
      <c r="BW12">
        <v>2.7E-4</v>
      </c>
      <c r="BZ12">
        <v>1E-4</v>
      </c>
      <c r="CA12">
        <v>1E-4</v>
      </c>
      <c r="CB12">
        <v>2.7E-4</v>
      </c>
      <c r="CC12">
        <v>1.2999999999999999E-4</v>
      </c>
      <c r="CD12">
        <v>6.0000000000000002E-5</v>
      </c>
      <c r="CE12">
        <v>2.6999999999999999E-5</v>
      </c>
    </row>
    <row r="13" spans="1:83" s="1" customFormat="1" x14ac:dyDescent="0.3">
      <c r="A13" s="14"/>
      <c r="C13" s="1" t="s">
        <v>206</v>
      </c>
      <c r="D13" s="1">
        <v>40</v>
      </c>
      <c r="E13" s="1">
        <v>100</v>
      </c>
      <c r="F13" s="1">
        <v>200</v>
      </c>
      <c r="G13" s="1">
        <v>120</v>
      </c>
      <c r="H13" s="1">
        <v>50</v>
      </c>
      <c r="I13" s="1">
        <v>40</v>
      </c>
      <c r="J13" s="1">
        <v>100</v>
      </c>
      <c r="K13" s="1">
        <v>20</v>
      </c>
      <c r="L13" s="1">
        <v>10</v>
      </c>
      <c r="M13" s="1">
        <v>15</v>
      </c>
      <c r="N13" s="1">
        <v>40</v>
      </c>
      <c r="O13" s="1">
        <v>7</v>
      </c>
      <c r="P13" s="1">
        <v>2.5</v>
      </c>
      <c r="Q13" s="1">
        <v>0.6</v>
      </c>
      <c r="R13" s="1">
        <v>8</v>
      </c>
      <c r="S13" s="1">
        <v>20</v>
      </c>
      <c r="T13" s="1">
        <v>2</v>
      </c>
      <c r="U13" s="1">
        <v>2</v>
      </c>
      <c r="V13" s="1">
        <v>2</v>
      </c>
      <c r="W13" s="1">
        <v>2</v>
      </c>
      <c r="X13" s="1">
        <v>2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0.8</v>
      </c>
      <c r="AH13" s="1">
        <v>0.8</v>
      </c>
      <c r="AI13" s="1">
        <v>0.6</v>
      </c>
      <c r="AJ13" s="1">
        <v>1.5</v>
      </c>
      <c r="AK13" s="1">
        <v>1.5</v>
      </c>
      <c r="AL13" s="1">
        <v>1.5</v>
      </c>
      <c r="AM13" s="1">
        <v>2</v>
      </c>
      <c r="AN13" s="1">
        <v>2</v>
      </c>
      <c r="AO13" s="1">
        <v>4</v>
      </c>
      <c r="AP13" s="1">
        <v>1</v>
      </c>
      <c r="AQ13" s="1">
        <v>1.5</v>
      </c>
      <c r="AR13" s="1">
        <v>2</v>
      </c>
      <c r="AS13" s="1">
        <v>1.2</v>
      </c>
      <c r="AT13" s="1">
        <v>1.2</v>
      </c>
      <c r="AU13" s="1">
        <v>3</v>
      </c>
      <c r="AV13" s="1">
        <v>40</v>
      </c>
      <c r="AW13" s="1">
        <v>12</v>
      </c>
      <c r="AX13" s="1">
        <v>8</v>
      </c>
      <c r="AY13" s="1">
        <v>8</v>
      </c>
      <c r="AZ13" s="1">
        <v>8</v>
      </c>
      <c r="BA13" s="1">
        <v>2</v>
      </c>
      <c r="BB13" s="1">
        <v>4.5</v>
      </c>
      <c r="BC13" s="1">
        <v>1.5</v>
      </c>
      <c r="BD13" s="1">
        <v>5</v>
      </c>
      <c r="BE13" s="1">
        <v>1</v>
      </c>
      <c r="BF13" s="1">
        <v>0.2</v>
      </c>
      <c r="BG13" s="1">
        <v>1</v>
      </c>
      <c r="BH13" s="1">
        <v>3</v>
      </c>
      <c r="BI13" s="1">
        <v>1.5</v>
      </c>
      <c r="BJ13" s="1">
        <v>3.5</v>
      </c>
      <c r="BK13" s="1">
        <v>0.7</v>
      </c>
      <c r="BL13" s="1">
        <v>1</v>
      </c>
      <c r="BM13" s="1">
        <v>3</v>
      </c>
      <c r="BN13" s="1">
        <v>2.5</v>
      </c>
      <c r="BO13" s="1">
        <v>0.05</v>
      </c>
      <c r="BP13" s="1">
        <v>4</v>
      </c>
      <c r="BQ13" s="1">
        <v>15</v>
      </c>
      <c r="BR13" s="1">
        <v>0.15</v>
      </c>
      <c r="BS13" s="1">
        <v>2.5</v>
      </c>
      <c r="BT13" s="1">
        <v>0.15</v>
      </c>
      <c r="BU13" s="1">
        <v>0.6</v>
      </c>
      <c r="BV13" s="1">
        <v>1.1000000000000001</v>
      </c>
      <c r="BW13" s="1">
        <v>0.8</v>
      </c>
      <c r="BX13" s="1">
        <v>0.4</v>
      </c>
      <c r="BY13" s="1">
        <v>0.13</v>
      </c>
      <c r="BZ13" s="1">
        <v>0.8</v>
      </c>
      <c r="CA13" s="1">
        <v>0.17</v>
      </c>
      <c r="CB13" s="1">
        <v>0.3</v>
      </c>
      <c r="CC13" s="1">
        <v>0.04</v>
      </c>
      <c r="CD13" s="1">
        <v>0.03</v>
      </c>
      <c r="CE13" s="1">
        <v>0.04</v>
      </c>
    </row>
    <row r="14" spans="1:83" s="1" customFormat="1" x14ac:dyDescent="0.3">
      <c r="A14" s="14"/>
      <c r="C14" s="1" t="s">
        <v>77</v>
      </c>
      <c r="D14" s="1">
        <v>0</v>
      </c>
      <c r="E14" s="1">
        <v>0</v>
      </c>
      <c r="F14" s="1">
        <v>1</v>
      </c>
      <c r="G14" s="1">
        <v>1</v>
      </c>
      <c r="H14" s="1">
        <v>1</v>
      </c>
      <c r="I14" s="1">
        <v>0.5</v>
      </c>
      <c r="J14" s="1">
        <v>0</v>
      </c>
      <c r="K14" s="1">
        <v>1</v>
      </c>
      <c r="L14" s="1">
        <v>1</v>
      </c>
      <c r="M14" s="1">
        <v>0.5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</row>
    <row r="15" spans="1:83" x14ac:dyDescent="0.3">
      <c r="A15" s="2"/>
      <c r="C15" s="1" t="s">
        <v>76</v>
      </c>
      <c r="D15" t="s">
        <v>78</v>
      </c>
      <c r="E15" t="s">
        <v>78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 t="s">
        <v>75</v>
      </c>
      <c r="BF15" t="s">
        <v>75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W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</row>
    <row r="16" spans="1:83" x14ac:dyDescent="0.3">
      <c r="A16" s="2"/>
      <c r="C16" s="1" t="s">
        <v>74</v>
      </c>
      <c r="D16" t="s">
        <v>78</v>
      </c>
      <c r="E16" t="s">
        <v>78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W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1</v>
      </c>
    </row>
    <row r="17" spans="1:83" s="1" customFormat="1" x14ac:dyDescent="0.3">
      <c r="A17" s="1" t="s">
        <v>43</v>
      </c>
      <c r="B17" s="1" t="s">
        <v>44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V17"/>
      <c r="CE17"/>
    </row>
    <row r="18" spans="1:83" x14ac:dyDescent="0.3">
      <c r="A18" t="s">
        <v>63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s="12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</row>
    <row r="19" spans="1:83" s="1" customFormat="1" x14ac:dyDescent="0.3">
      <c r="A19" s="11" t="s">
        <v>188</v>
      </c>
      <c r="B19" s="12">
        <v>6</v>
      </c>
      <c r="D19">
        <v>0</v>
      </c>
      <c r="E19" s="11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s="12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</row>
    <row r="20" spans="1:83" s="1" customFormat="1" x14ac:dyDescent="0.3">
      <c r="A20" s="11" t="s">
        <v>189</v>
      </c>
      <c r="B20" s="12">
        <v>160572</v>
      </c>
      <c r="D20">
        <v>0</v>
      </c>
      <c r="E20" s="11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s="12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</row>
    <row r="21" spans="1:83" s="1" customFormat="1" x14ac:dyDescent="0.3">
      <c r="A21" s="11" t="s">
        <v>190</v>
      </c>
      <c r="D21">
        <v>0</v>
      </c>
      <c r="E21" s="1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s="12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</row>
    <row r="22" spans="1:83" s="1" customFormat="1" x14ac:dyDescent="0.3">
      <c r="A22" s="11" t="s">
        <v>191</v>
      </c>
      <c r="D22">
        <v>0</v>
      </c>
      <c r="E22" s="11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 s="1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</row>
    <row r="23" spans="1:83" s="1" customFormat="1" x14ac:dyDescent="0.3">
      <c r="A23" s="11" t="s">
        <v>192</v>
      </c>
      <c r="D23">
        <v>0</v>
      </c>
      <c r="E23" s="11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s="12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</row>
    <row r="24" spans="1:83" s="1" customFormat="1" x14ac:dyDescent="0.3">
      <c r="A24" s="11" t="s">
        <v>193</v>
      </c>
      <c r="D24">
        <v>0</v>
      </c>
      <c r="E24" s="11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 s="12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</row>
    <row r="25" spans="1:83" s="1" customFormat="1" x14ac:dyDescent="0.3">
      <c r="A25" s="11" t="s">
        <v>194</v>
      </c>
      <c r="D25">
        <v>1</v>
      </c>
      <c r="E25" s="11">
        <v>0</v>
      </c>
      <c r="F25">
        <v>0</v>
      </c>
      <c r="G25">
        <v>0</v>
      </c>
      <c r="H25">
        <v>0</v>
      </c>
      <c r="I25" s="11">
        <v>0</v>
      </c>
      <c r="J25" s="11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s="12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</row>
    <row r="26" spans="1:83" s="1" customFormat="1" x14ac:dyDescent="0.3">
      <c r="A26" s="11" t="s">
        <v>199</v>
      </c>
      <c r="D26">
        <v>0</v>
      </c>
      <c r="E26" s="11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s="12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 spans="1:83" s="1" customFormat="1" x14ac:dyDescent="0.3">
      <c r="A27" s="11" t="s">
        <v>195</v>
      </c>
      <c r="D27">
        <v>0</v>
      </c>
      <c r="E27" s="11">
        <v>0</v>
      </c>
      <c r="F27">
        <v>0</v>
      </c>
      <c r="G27">
        <v>0</v>
      </c>
      <c r="H27">
        <v>0</v>
      </c>
      <c r="I27" s="11">
        <v>0</v>
      </c>
      <c r="J27" s="11">
        <v>0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0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0</v>
      </c>
      <c r="BX27">
        <v>0</v>
      </c>
      <c r="BY27" s="12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 spans="1:83" s="1" customFormat="1" x14ac:dyDescent="0.3">
      <c r="A28" s="11" t="s">
        <v>196</v>
      </c>
      <c r="B28" s="1" t="s">
        <v>60</v>
      </c>
      <c r="D28">
        <v>0</v>
      </c>
      <c r="E28" s="11">
        <v>0</v>
      </c>
      <c r="F28">
        <v>0</v>
      </c>
      <c r="G28">
        <v>0</v>
      </c>
      <c r="H28">
        <v>0</v>
      </c>
      <c r="I28" s="11">
        <v>0</v>
      </c>
      <c r="J28" s="11">
        <v>0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0</v>
      </c>
      <c r="BY28" s="12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</row>
    <row r="29" spans="1:83" x14ac:dyDescent="0.3">
      <c r="A29" t="s">
        <v>0</v>
      </c>
      <c r="B29">
        <v>104464</v>
      </c>
      <c r="D29">
        <v>0</v>
      </c>
      <c r="E29">
        <v>0</v>
      </c>
      <c r="F29">
        <v>0</v>
      </c>
      <c r="G29">
        <v>0</v>
      </c>
      <c r="H29">
        <v>0</v>
      </c>
      <c r="I29" s="11">
        <v>0</v>
      </c>
      <c r="J29" s="11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 s="12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</row>
    <row r="30" spans="1:83" x14ac:dyDescent="0.3">
      <c r="A30" t="s">
        <v>1</v>
      </c>
      <c r="B30">
        <v>104465</v>
      </c>
      <c r="D30">
        <v>0</v>
      </c>
      <c r="E30">
        <v>0</v>
      </c>
      <c r="F30">
        <v>0</v>
      </c>
      <c r="G30">
        <v>0</v>
      </c>
      <c r="H30">
        <v>0</v>
      </c>
      <c r="I30" s="11">
        <v>0</v>
      </c>
      <c r="J30" s="11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 s="12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1</v>
      </c>
    </row>
    <row r="31" spans="1:83" x14ac:dyDescent="0.3">
      <c r="A31" t="s">
        <v>2</v>
      </c>
      <c r="B31">
        <v>104467</v>
      </c>
      <c r="D31">
        <v>0</v>
      </c>
      <c r="E31">
        <v>0</v>
      </c>
      <c r="F31">
        <v>0</v>
      </c>
      <c r="G31">
        <v>0</v>
      </c>
      <c r="H31">
        <v>0</v>
      </c>
      <c r="I31" s="11">
        <v>0</v>
      </c>
      <c r="J31" s="1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s="12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1</v>
      </c>
    </row>
    <row r="32" spans="1:83" x14ac:dyDescent="0.3">
      <c r="A32" t="s">
        <v>3</v>
      </c>
      <c r="B32">
        <v>104517</v>
      </c>
      <c r="D32">
        <v>0</v>
      </c>
      <c r="E32">
        <v>0</v>
      </c>
      <c r="F32">
        <v>0</v>
      </c>
      <c r="G32">
        <v>0</v>
      </c>
      <c r="H32">
        <v>0</v>
      </c>
      <c r="I32" s="11">
        <v>0</v>
      </c>
      <c r="J32" s="11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 s="1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</row>
    <row r="33" spans="1:83" x14ac:dyDescent="0.3">
      <c r="A33" t="s">
        <v>4</v>
      </c>
      <c r="B33">
        <v>104513</v>
      </c>
      <c r="D33">
        <v>0</v>
      </c>
      <c r="E33">
        <v>0</v>
      </c>
      <c r="F33">
        <v>0</v>
      </c>
      <c r="G33">
        <v>0</v>
      </c>
      <c r="H33">
        <v>0</v>
      </c>
      <c r="I33" s="11">
        <v>0</v>
      </c>
      <c r="J33" s="11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1</v>
      </c>
      <c r="BY33" s="12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 spans="1:83" x14ac:dyDescent="0.3">
      <c r="A34" t="s">
        <v>5</v>
      </c>
      <c r="B34">
        <v>254612</v>
      </c>
      <c r="D34">
        <v>0</v>
      </c>
      <c r="E34">
        <v>0</v>
      </c>
      <c r="F34">
        <v>0</v>
      </c>
      <c r="G34">
        <v>0</v>
      </c>
      <c r="H34">
        <v>0</v>
      </c>
      <c r="I34" s="11">
        <v>0</v>
      </c>
      <c r="J34" s="11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0</v>
      </c>
      <c r="BY34" s="12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35" spans="1:83" x14ac:dyDescent="0.3">
      <c r="A35" t="s">
        <v>6</v>
      </c>
      <c r="B35">
        <v>104236</v>
      </c>
      <c r="D35">
        <v>0</v>
      </c>
      <c r="E35">
        <v>0</v>
      </c>
      <c r="F35">
        <v>0</v>
      </c>
      <c r="G35">
        <v>0</v>
      </c>
      <c r="H35">
        <v>0</v>
      </c>
      <c r="I35" s="11">
        <v>0</v>
      </c>
      <c r="J35" s="11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0</v>
      </c>
      <c r="BY35" s="12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</row>
    <row r="36" spans="1:83" x14ac:dyDescent="0.3">
      <c r="A36" t="s">
        <v>45</v>
      </c>
      <c r="B36">
        <v>104851</v>
      </c>
      <c r="D36">
        <v>0</v>
      </c>
      <c r="E36">
        <v>0</v>
      </c>
      <c r="F36">
        <v>0</v>
      </c>
      <c r="G36">
        <v>0</v>
      </c>
      <c r="H36">
        <v>0</v>
      </c>
      <c r="I36" s="11">
        <v>0</v>
      </c>
      <c r="J36" s="11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 s="12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</row>
    <row r="37" spans="1:83" x14ac:dyDescent="0.3">
      <c r="A37" t="s">
        <v>7</v>
      </c>
      <c r="B37">
        <v>254613</v>
      </c>
      <c r="D37">
        <v>0</v>
      </c>
      <c r="E37">
        <v>0</v>
      </c>
      <c r="F37">
        <v>0</v>
      </c>
      <c r="G37">
        <v>0</v>
      </c>
      <c r="H37">
        <v>0</v>
      </c>
      <c r="I37" s="11">
        <v>0</v>
      </c>
      <c r="J37" s="11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0</v>
      </c>
      <c r="BY37" s="12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</row>
    <row r="38" spans="1:83" x14ac:dyDescent="0.3">
      <c r="A38" t="s">
        <v>8</v>
      </c>
      <c r="B38">
        <v>104852</v>
      </c>
      <c r="D38">
        <v>0</v>
      </c>
      <c r="E38">
        <v>0</v>
      </c>
      <c r="F38">
        <v>0</v>
      </c>
      <c r="G38">
        <v>0</v>
      </c>
      <c r="H38">
        <v>0</v>
      </c>
      <c r="I38" s="11">
        <v>0</v>
      </c>
      <c r="J38" s="11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0</v>
      </c>
      <c r="BX38">
        <v>0</v>
      </c>
      <c r="BY38" s="12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 spans="1:83" x14ac:dyDescent="0.3">
      <c r="A39" t="s">
        <v>9</v>
      </c>
      <c r="B39">
        <v>104075</v>
      </c>
      <c r="D39">
        <v>0</v>
      </c>
      <c r="E39">
        <v>0</v>
      </c>
      <c r="F39">
        <v>0</v>
      </c>
      <c r="G39">
        <v>0</v>
      </c>
      <c r="H39">
        <v>0</v>
      </c>
      <c r="I39" s="11">
        <v>0</v>
      </c>
      <c r="J39" s="11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0</v>
      </c>
      <c r="BY39" s="12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</row>
    <row r="40" spans="1:83" x14ac:dyDescent="0.3">
      <c r="A40" t="s">
        <v>10</v>
      </c>
      <c r="B40">
        <v>104272</v>
      </c>
      <c r="D40">
        <v>0</v>
      </c>
      <c r="E40">
        <v>0</v>
      </c>
      <c r="F40">
        <v>0</v>
      </c>
      <c r="G40">
        <v>0</v>
      </c>
      <c r="H40">
        <v>0</v>
      </c>
      <c r="I40" s="11">
        <v>0</v>
      </c>
      <c r="J40" s="11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0</v>
      </c>
      <c r="BY40" s="12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</row>
    <row r="41" spans="1:83" x14ac:dyDescent="0.3">
      <c r="A41" t="s">
        <v>11</v>
      </c>
      <c r="B41">
        <v>104270</v>
      </c>
      <c r="D41">
        <v>0</v>
      </c>
      <c r="E41">
        <v>0</v>
      </c>
      <c r="F41">
        <v>0</v>
      </c>
      <c r="G41">
        <v>0</v>
      </c>
      <c r="H41">
        <v>0</v>
      </c>
      <c r="I41" s="11">
        <v>0</v>
      </c>
      <c r="J41" s="1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 s="12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</row>
    <row r="42" spans="1:83" x14ac:dyDescent="0.3">
      <c r="A42" t="s">
        <v>12</v>
      </c>
      <c r="B42">
        <v>104292</v>
      </c>
      <c r="D42">
        <v>0</v>
      </c>
      <c r="E42">
        <v>0</v>
      </c>
      <c r="F42">
        <v>0</v>
      </c>
      <c r="G42">
        <v>0</v>
      </c>
      <c r="H42">
        <v>0</v>
      </c>
      <c r="I42" s="11">
        <v>0</v>
      </c>
      <c r="J42" s="11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0</v>
      </c>
      <c r="BY42" s="1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</row>
    <row r="43" spans="1:83" x14ac:dyDescent="0.3">
      <c r="A43" t="s">
        <v>46</v>
      </c>
      <c r="B43">
        <v>254602</v>
      </c>
      <c r="D43">
        <v>0</v>
      </c>
      <c r="E43">
        <v>0</v>
      </c>
      <c r="F43">
        <v>0</v>
      </c>
      <c r="G43">
        <v>0</v>
      </c>
      <c r="H43">
        <v>0</v>
      </c>
      <c r="I43" s="11">
        <v>0</v>
      </c>
      <c r="J43" s="11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1</v>
      </c>
      <c r="BS43">
        <v>1</v>
      </c>
      <c r="BT43">
        <v>1</v>
      </c>
      <c r="BU43">
        <v>1</v>
      </c>
      <c r="BV43">
        <v>0</v>
      </c>
      <c r="BW43">
        <v>0</v>
      </c>
      <c r="BX43">
        <v>0</v>
      </c>
      <c r="BY43" s="12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</row>
    <row r="44" spans="1:83" x14ac:dyDescent="0.3">
      <c r="A44" t="s">
        <v>47</v>
      </c>
      <c r="B44">
        <v>237965</v>
      </c>
      <c r="D44">
        <v>0</v>
      </c>
      <c r="E44">
        <v>0</v>
      </c>
      <c r="F44">
        <v>0</v>
      </c>
      <c r="G44">
        <v>0</v>
      </c>
      <c r="H44">
        <v>0</v>
      </c>
      <c r="I44" s="11">
        <v>0</v>
      </c>
      <c r="J44" s="11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1</v>
      </c>
      <c r="BS44">
        <v>1</v>
      </c>
      <c r="BT44">
        <v>1</v>
      </c>
      <c r="BU44">
        <v>1</v>
      </c>
      <c r="BV44">
        <v>0</v>
      </c>
      <c r="BW44">
        <v>0</v>
      </c>
      <c r="BX44">
        <v>0</v>
      </c>
      <c r="BY44" s="12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</row>
    <row r="45" spans="1:83" x14ac:dyDescent="0.3">
      <c r="A45" t="s">
        <v>48</v>
      </c>
      <c r="B45">
        <v>104339</v>
      </c>
      <c r="D45">
        <v>0</v>
      </c>
      <c r="E45">
        <v>0</v>
      </c>
      <c r="F45">
        <v>0</v>
      </c>
      <c r="G45">
        <v>0</v>
      </c>
      <c r="H45">
        <v>0</v>
      </c>
      <c r="I45" s="11">
        <v>0</v>
      </c>
      <c r="J45" s="11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 s="12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</row>
    <row r="46" spans="1:83" x14ac:dyDescent="0.3">
      <c r="A46" t="s">
        <v>13</v>
      </c>
      <c r="B46">
        <v>104116</v>
      </c>
      <c r="D46">
        <v>0</v>
      </c>
      <c r="E46">
        <v>0</v>
      </c>
      <c r="F46">
        <v>0</v>
      </c>
      <c r="G46">
        <v>0</v>
      </c>
      <c r="H46">
        <v>0</v>
      </c>
      <c r="I46" s="11">
        <v>0</v>
      </c>
      <c r="J46" s="11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0</v>
      </c>
      <c r="BY46" s="12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</row>
    <row r="47" spans="1:83" x14ac:dyDescent="0.3">
      <c r="A47" t="s">
        <v>14</v>
      </c>
      <c r="B47">
        <v>104174</v>
      </c>
      <c r="D47">
        <v>0</v>
      </c>
      <c r="E47">
        <v>0</v>
      </c>
      <c r="F47">
        <v>0</v>
      </c>
      <c r="G47">
        <v>0</v>
      </c>
      <c r="H47">
        <v>0</v>
      </c>
      <c r="I47" s="11">
        <v>0</v>
      </c>
      <c r="J47" s="11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0</v>
      </c>
      <c r="BY47" s="12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</row>
    <row r="48" spans="1:83" x14ac:dyDescent="0.3">
      <c r="A48" t="s">
        <v>49</v>
      </c>
      <c r="B48">
        <v>104560</v>
      </c>
      <c r="D48">
        <v>0</v>
      </c>
      <c r="E48">
        <v>0</v>
      </c>
      <c r="F48">
        <v>0</v>
      </c>
      <c r="G48">
        <v>0</v>
      </c>
      <c r="H48">
        <v>0</v>
      </c>
      <c r="I48" s="11">
        <v>0</v>
      </c>
      <c r="J48" s="11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0</v>
      </c>
      <c r="BY48" s="12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</row>
    <row r="49" spans="1:83" x14ac:dyDescent="0.3">
      <c r="A49" t="s">
        <v>50</v>
      </c>
      <c r="B49">
        <v>1507271</v>
      </c>
      <c r="D49">
        <v>0</v>
      </c>
      <c r="E49">
        <v>0</v>
      </c>
      <c r="F49">
        <v>0</v>
      </c>
      <c r="G49">
        <v>0</v>
      </c>
      <c r="H49">
        <v>0</v>
      </c>
      <c r="I49" s="11">
        <v>0</v>
      </c>
      <c r="J49" s="11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0</v>
      </c>
      <c r="BX49">
        <v>0</v>
      </c>
      <c r="BY49" s="12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 spans="1:83" x14ac:dyDescent="0.3">
      <c r="A50" t="s">
        <v>15</v>
      </c>
      <c r="B50">
        <v>104798</v>
      </c>
      <c r="D50">
        <v>0</v>
      </c>
      <c r="E50">
        <v>0</v>
      </c>
      <c r="F50">
        <v>0</v>
      </c>
      <c r="G50">
        <v>0</v>
      </c>
      <c r="H50">
        <v>0</v>
      </c>
      <c r="I50" s="11">
        <v>0</v>
      </c>
      <c r="J50" s="11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 s="12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</row>
    <row r="51" spans="1:83" x14ac:dyDescent="0.3">
      <c r="A51" t="s">
        <v>16</v>
      </c>
      <c r="B51">
        <v>104790</v>
      </c>
      <c r="D51">
        <v>0</v>
      </c>
      <c r="E51">
        <v>0</v>
      </c>
      <c r="F51">
        <v>0</v>
      </c>
      <c r="G51">
        <v>0</v>
      </c>
      <c r="H51">
        <v>0</v>
      </c>
      <c r="I51" s="11">
        <v>0</v>
      </c>
      <c r="J51" s="1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0</v>
      </c>
      <c r="BX51">
        <v>0</v>
      </c>
      <c r="BY51" s="12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 spans="1:83" x14ac:dyDescent="0.3">
      <c r="A52" t="s">
        <v>51</v>
      </c>
      <c r="B52">
        <v>1509944</v>
      </c>
      <c r="D52">
        <v>0</v>
      </c>
      <c r="E52">
        <v>0</v>
      </c>
      <c r="F52">
        <v>0</v>
      </c>
      <c r="G52">
        <v>0</v>
      </c>
      <c r="H52">
        <v>0</v>
      </c>
      <c r="I52" s="11">
        <v>0</v>
      </c>
      <c r="J52" s="11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0</v>
      </c>
      <c r="BY52" s="1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 spans="1:83" x14ac:dyDescent="0.3">
      <c r="A53" t="s">
        <v>17</v>
      </c>
      <c r="B53">
        <v>362051</v>
      </c>
      <c r="D53">
        <v>0</v>
      </c>
      <c r="E53">
        <v>0</v>
      </c>
      <c r="F53">
        <v>0</v>
      </c>
      <c r="G53">
        <v>0</v>
      </c>
      <c r="H53">
        <v>0</v>
      </c>
      <c r="I53" s="11">
        <v>0</v>
      </c>
      <c r="J53" s="11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 s="12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</row>
    <row r="54" spans="1:83" x14ac:dyDescent="0.3">
      <c r="A54" t="s">
        <v>18</v>
      </c>
      <c r="B54">
        <v>104895</v>
      </c>
      <c r="D54">
        <v>0</v>
      </c>
      <c r="E54">
        <v>0</v>
      </c>
      <c r="F54">
        <v>0</v>
      </c>
      <c r="G54">
        <v>0</v>
      </c>
      <c r="H54">
        <v>0</v>
      </c>
      <c r="I54" s="11">
        <v>0</v>
      </c>
      <c r="J54" s="11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0</v>
      </c>
      <c r="BY54" s="12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</row>
    <row r="55" spans="1:83" x14ac:dyDescent="0.3">
      <c r="A55" t="s">
        <v>19</v>
      </c>
      <c r="B55">
        <v>104632</v>
      </c>
      <c r="D55">
        <v>0</v>
      </c>
      <c r="E55">
        <v>0</v>
      </c>
      <c r="F55">
        <v>0</v>
      </c>
      <c r="G55">
        <v>0</v>
      </c>
      <c r="H55">
        <v>0</v>
      </c>
      <c r="I55" s="11">
        <v>0</v>
      </c>
      <c r="J55" s="11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 s="12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</row>
    <row r="56" spans="1:83" x14ac:dyDescent="0.3">
      <c r="A56" t="s">
        <v>20</v>
      </c>
      <c r="B56">
        <v>220910</v>
      </c>
      <c r="D56">
        <v>0</v>
      </c>
      <c r="E56">
        <v>0</v>
      </c>
      <c r="F56">
        <v>0</v>
      </c>
      <c r="G56">
        <v>0</v>
      </c>
      <c r="H56">
        <v>0</v>
      </c>
      <c r="I56" s="11">
        <v>0</v>
      </c>
      <c r="J56" s="11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 s="12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 spans="1:83" x14ac:dyDescent="0.3">
      <c r="A57" t="s">
        <v>52</v>
      </c>
      <c r="B57">
        <v>254603</v>
      </c>
      <c r="D57">
        <v>0</v>
      </c>
      <c r="E57">
        <v>0</v>
      </c>
      <c r="F57">
        <v>0</v>
      </c>
      <c r="G57">
        <v>0</v>
      </c>
      <c r="H57">
        <v>0</v>
      </c>
      <c r="I57" s="11">
        <v>0</v>
      </c>
      <c r="J57" s="11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1</v>
      </c>
      <c r="BS57">
        <v>1</v>
      </c>
      <c r="BT57">
        <v>1</v>
      </c>
      <c r="BU57">
        <v>1</v>
      </c>
      <c r="BV57">
        <v>0</v>
      </c>
      <c r="BW57">
        <v>0</v>
      </c>
      <c r="BX57">
        <v>0</v>
      </c>
      <c r="BY57" s="12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 spans="1:83" x14ac:dyDescent="0.3">
      <c r="A58" t="s">
        <v>21</v>
      </c>
      <c r="B58">
        <v>104579</v>
      </c>
      <c r="D58">
        <v>0</v>
      </c>
      <c r="E58">
        <v>0</v>
      </c>
      <c r="F58">
        <v>0</v>
      </c>
      <c r="G58">
        <v>0</v>
      </c>
      <c r="H58">
        <v>0</v>
      </c>
      <c r="I58" s="11">
        <v>0</v>
      </c>
      <c r="J58" s="11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1</v>
      </c>
      <c r="BT58">
        <v>1</v>
      </c>
      <c r="BU58">
        <v>1</v>
      </c>
      <c r="BV58">
        <v>0</v>
      </c>
      <c r="BW58">
        <v>0</v>
      </c>
      <c r="BX58">
        <v>0</v>
      </c>
      <c r="BY58" s="12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</row>
    <row r="59" spans="1:83" x14ac:dyDescent="0.3">
      <c r="A59" t="s">
        <v>22</v>
      </c>
      <c r="B59">
        <v>104422</v>
      </c>
      <c r="D59">
        <v>0</v>
      </c>
      <c r="E59">
        <v>0</v>
      </c>
      <c r="F59">
        <v>0</v>
      </c>
      <c r="G59">
        <v>0</v>
      </c>
      <c r="H59">
        <v>0</v>
      </c>
      <c r="I59" s="11">
        <v>0</v>
      </c>
      <c r="J59" s="11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1</v>
      </c>
      <c r="BS59">
        <v>1</v>
      </c>
      <c r="BT59">
        <v>1</v>
      </c>
      <c r="BU59">
        <v>1</v>
      </c>
      <c r="BV59">
        <v>0</v>
      </c>
      <c r="BW59">
        <v>0</v>
      </c>
      <c r="BX59">
        <v>0</v>
      </c>
      <c r="BY59" s="12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 spans="1:83" x14ac:dyDescent="0.3">
      <c r="A60" t="s">
        <v>23</v>
      </c>
      <c r="B60">
        <v>104372</v>
      </c>
      <c r="D60">
        <v>0</v>
      </c>
      <c r="E60">
        <v>0</v>
      </c>
      <c r="F60">
        <v>0</v>
      </c>
      <c r="G60">
        <v>0</v>
      </c>
      <c r="H60">
        <v>0</v>
      </c>
      <c r="I60" s="11">
        <v>0</v>
      </c>
      <c r="J60" s="11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0</v>
      </c>
      <c r="BR60">
        <v>1</v>
      </c>
      <c r="BS60">
        <v>1</v>
      </c>
      <c r="BT60">
        <v>1</v>
      </c>
      <c r="BU60">
        <v>1</v>
      </c>
      <c r="BV60">
        <v>0</v>
      </c>
      <c r="BW60">
        <v>0</v>
      </c>
      <c r="BX60">
        <v>0</v>
      </c>
      <c r="BY60" s="12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</row>
    <row r="61" spans="1:83" x14ac:dyDescent="0.3">
      <c r="A61" t="s">
        <v>24</v>
      </c>
      <c r="B61">
        <v>104459</v>
      </c>
      <c r="D61">
        <v>0</v>
      </c>
      <c r="E61">
        <v>0</v>
      </c>
      <c r="F61">
        <v>0</v>
      </c>
      <c r="G61">
        <v>0</v>
      </c>
      <c r="H61">
        <v>0</v>
      </c>
      <c r="I61" s="11">
        <v>0</v>
      </c>
      <c r="J61" s="1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 s="12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</row>
    <row r="62" spans="1:83" x14ac:dyDescent="0.3">
      <c r="A62" t="s">
        <v>53</v>
      </c>
      <c r="B62">
        <v>1100</v>
      </c>
      <c r="D62">
        <v>0</v>
      </c>
      <c r="E62">
        <v>0</v>
      </c>
      <c r="F62">
        <v>0</v>
      </c>
      <c r="G62">
        <v>0</v>
      </c>
      <c r="H62">
        <v>0</v>
      </c>
      <c r="I62" s="11">
        <v>0</v>
      </c>
      <c r="J62" s="11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1</v>
      </c>
      <c r="BQ62">
        <v>0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0</v>
      </c>
      <c r="BX62">
        <v>1</v>
      </c>
      <c r="BY62" s="1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 spans="1:83" x14ac:dyDescent="0.3">
      <c r="A63" t="s">
        <v>54</v>
      </c>
      <c r="B63">
        <v>1100</v>
      </c>
      <c r="D63">
        <v>0</v>
      </c>
      <c r="E63">
        <v>0</v>
      </c>
      <c r="F63">
        <v>0</v>
      </c>
      <c r="G63">
        <v>0</v>
      </c>
      <c r="H63">
        <v>0</v>
      </c>
      <c r="I63" s="11">
        <v>0</v>
      </c>
      <c r="J63" s="11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1</v>
      </c>
      <c r="BQ63">
        <v>0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0</v>
      </c>
      <c r="BX63">
        <v>1</v>
      </c>
      <c r="BY63" s="12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x14ac:dyDescent="0.3">
      <c r="A64" t="s">
        <v>25</v>
      </c>
      <c r="B64">
        <v>106642</v>
      </c>
      <c r="D64">
        <v>0</v>
      </c>
      <c r="E64">
        <v>0</v>
      </c>
      <c r="F64">
        <v>0</v>
      </c>
      <c r="G64">
        <v>0</v>
      </c>
      <c r="H64">
        <v>0</v>
      </c>
      <c r="I64" s="11">
        <v>0</v>
      </c>
      <c r="J64" s="11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1</v>
      </c>
      <c r="BY64" s="12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</row>
    <row r="65" spans="1:83" x14ac:dyDescent="0.3">
      <c r="A65" t="s">
        <v>26</v>
      </c>
      <c r="B65">
        <v>106656</v>
      </c>
      <c r="D65">
        <v>0</v>
      </c>
      <c r="E65">
        <v>0</v>
      </c>
      <c r="F65">
        <v>0</v>
      </c>
      <c r="G65">
        <v>0</v>
      </c>
      <c r="H65">
        <v>0</v>
      </c>
      <c r="I65" s="11">
        <v>0</v>
      </c>
      <c r="J65" s="11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0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0</v>
      </c>
      <c r="BX65">
        <v>1</v>
      </c>
      <c r="BY65" s="12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</row>
    <row r="66" spans="1:83" x14ac:dyDescent="0.3">
      <c r="A66" t="s">
        <v>27</v>
      </c>
      <c r="B66">
        <v>128690</v>
      </c>
      <c r="D66">
        <v>0</v>
      </c>
      <c r="E66">
        <v>0</v>
      </c>
      <c r="F66">
        <v>0</v>
      </c>
      <c r="G66">
        <v>0</v>
      </c>
      <c r="H66">
        <v>0</v>
      </c>
      <c r="I66" s="11">
        <v>0</v>
      </c>
      <c r="J66" s="11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0</v>
      </c>
      <c r="BX66">
        <v>1</v>
      </c>
      <c r="BY66" s="12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</row>
    <row r="67" spans="1:83" x14ac:dyDescent="0.3">
      <c r="A67" t="s">
        <v>55</v>
      </c>
      <c r="B67">
        <v>1102</v>
      </c>
      <c r="D67">
        <v>0</v>
      </c>
      <c r="E67">
        <v>0</v>
      </c>
      <c r="F67">
        <v>0</v>
      </c>
      <c r="G67">
        <v>0</v>
      </c>
      <c r="H67">
        <v>0</v>
      </c>
      <c r="I67" s="11">
        <v>0</v>
      </c>
      <c r="J67" s="11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1</v>
      </c>
      <c r="BS67">
        <v>1</v>
      </c>
      <c r="BT67">
        <v>1</v>
      </c>
      <c r="BU67">
        <v>1</v>
      </c>
      <c r="BV67">
        <v>0</v>
      </c>
      <c r="BW67">
        <v>0</v>
      </c>
      <c r="BX67">
        <v>1</v>
      </c>
      <c r="BY67" s="12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 spans="1:83" x14ac:dyDescent="0.3">
      <c r="A68" t="s">
        <v>28</v>
      </c>
      <c r="B68">
        <v>115484</v>
      </c>
      <c r="D68">
        <v>0</v>
      </c>
      <c r="E68">
        <v>0</v>
      </c>
      <c r="F68">
        <v>0</v>
      </c>
      <c r="G68">
        <v>0</v>
      </c>
      <c r="H68">
        <v>0</v>
      </c>
      <c r="I68" s="11">
        <v>0</v>
      </c>
      <c r="J68" s="11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0</v>
      </c>
      <c r="BX68">
        <v>1</v>
      </c>
      <c r="BY68" s="12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x14ac:dyDescent="0.3">
      <c r="A69" t="s">
        <v>56</v>
      </c>
      <c r="B69">
        <v>346121</v>
      </c>
      <c r="D69">
        <v>0</v>
      </c>
      <c r="E69">
        <v>0</v>
      </c>
      <c r="F69">
        <v>0</v>
      </c>
      <c r="G69">
        <v>0</v>
      </c>
      <c r="H69">
        <v>0</v>
      </c>
      <c r="I69" s="11">
        <v>0</v>
      </c>
      <c r="J69" s="11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0</v>
      </c>
      <c r="BX69">
        <v>1</v>
      </c>
      <c r="BY69" s="12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</row>
    <row r="70" spans="1:83" x14ac:dyDescent="0.3">
      <c r="A70" t="s">
        <v>29</v>
      </c>
      <c r="B70">
        <v>119816</v>
      </c>
      <c r="D70">
        <v>0</v>
      </c>
      <c r="E70">
        <v>0</v>
      </c>
      <c r="F70">
        <v>0</v>
      </c>
      <c r="G70">
        <v>0</v>
      </c>
      <c r="H70">
        <v>0</v>
      </c>
      <c r="I70" s="11">
        <v>0</v>
      </c>
      <c r="J70" s="11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>
        <v>0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1</v>
      </c>
      <c r="BY70" s="12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</row>
    <row r="71" spans="1:83" x14ac:dyDescent="0.3">
      <c r="A71" t="s">
        <v>30</v>
      </c>
      <c r="B71">
        <v>1078</v>
      </c>
      <c r="D71">
        <v>0</v>
      </c>
      <c r="E71">
        <v>0</v>
      </c>
      <c r="F71">
        <v>0</v>
      </c>
      <c r="G71">
        <v>0</v>
      </c>
      <c r="H71">
        <v>0</v>
      </c>
      <c r="I71" s="11">
        <v>0</v>
      </c>
      <c r="J71" s="1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1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 spans="1:83" x14ac:dyDescent="0.3">
      <c r="A72" t="s">
        <v>31</v>
      </c>
      <c r="B72">
        <v>1131</v>
      </c>
      <c r="D72">
        <v>0</v>
      </c>
      <c r="E72">
        <v>0</v>
      </c>
      <c r="F72">
        <v>0</v>
      </c>
      <c r="G72">
        <v>0</v>
      </c>
      <c r="H72">
        <v>0</v>
      </c>
      <c r="I72" s="11">
        <v>0</v>
      </c>
      <c r="J72" s="11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1</v>
      </c>
      <c r="BY72">
        <v>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</row>
    <row r="73" spans="1:83" x14ac:dyDescent="0.3">
      <c r="A73" t="s">
        <v>32</v>
      </c>
      <c r="B73">
        <v>1135</v>
      </c>
      <c r="D73">
        <v>0</v>
      </c>
      <c r="E73">
        <v>0</v>
      </c>
      <c r="F73">
        <v>0</v>
      </c>
      <c r="G73">
        <v>0</v>
      </c>
      <c r="H73">
        <v>0</v>
      </c>
      <c r="I73" s="11">
        <v>0</v>
      </c>
      <c r="J73" s="11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1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</row>
    <row r="74" spans="1:83" x14ac:dyDescent="0.3">
      <c r="A74" t="s">
        <v>33</v>
      </c>
      <c r="B74">
        <v>103259</v>
      </c>
      <c r="D74">
        <v>0</v>
      </c>
      <c r="E74">
        <v>0</v>
      </c>
      <c r="F74">
        <v>0</v>
      </c>
      <c r="G74">
        <v>0</v>
      </c>
      <c r="H74">
        <v>0</v>
      </c>
      <c r="I74" s="11">
        <v>0</v>
      </c>
      <c r="J74" s="11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83" x14ac:dyDescent="0.3">
      <c r="A75" t="s">
        <v>34</v>
      </c>
      <c r="B75">
        <v>156452</v>
      </c>
      <c r="D75">
        <v>0</v>
      </c>
      <c r="E75">
        <v>0</v>
      </c>
      <c r="F75">
        <v>0</v>
      </c>
      <c r="G75">
        <v>0</v>
      </c>
      <c r="H75">
        <v>0</v>
      </c>
      <c r="I75" s="11">
        <v>0</v>
      </c>
      <c r="J75" s="11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0</v>
      </c>
      <c r="CB75">
        <v>1</v>
      </c>
      <c r="CC75">
        <v>0</v>
      </c>
      <c r="CD75">
        <v>1</v>
      </c>
      <c r="CE75">
        <v>0</v>
      </c>
    </row>
    <row r="76" spans="1:83" x14ac:dyDescent="0.3">
      <c r="A76" t="s">
        <v>35</v>
      </c>
      <c r="B76">
        <v>110709</v>
      </c>
      <c r="D76">
        <v>0</v>
      </c>
      <c r="E76">
        <v>0</v>
      </c>
      <c r="F76">
        <v>0</v>
      </c>
      <c r="G76">
        <v>0</v>
      </c>
      <c r="H76">
        <v>0</v>
      </c>
      <c r="I76" s="11">
        <v>0</v>
      </c>
      <c r="J76" s="11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1</v>
      </c>
    </row>
    <row r="77" spans="1:83" x14ac:dyDescent="0.3">
      <c r="A77" t="s">
        <v>36</v>
      </c>
      <c r="B77">
        <v>107590</v>
      </c>
      <c r="D77">
        <v>0</v>
      </c>
      <c r="E77">
        <v>0</v>
      </c>
      <c r="F77">
        <v>0</v>
      </c>
      <c r="G77">
        <v>0</v>
      </c>
      <c r="H77">
        <v>0</v>
      </c>
      <c r="I77" s="11">
        <v>0</v>
      </c>
      <c r="J77" s="11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1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  <row r="78" spans="1:83" x14ac:dyDescent="0.3">
      <c r="A78" t="s">
        <v>37</v>
      </c>
      <c r="B78">
        <v>883</v>
      </c>
      <c r="D78">
        <v>0</v>
      </c>
      <c r="E78">
        <v>0</v>
      </c>
      <c r="F78">
        <v>0</v>
      </c>
      <c r="G78">
        <v>0</v>
      </c>
      <c r="H78">
        <v>0</v>
      </c>
      <c r="I78" s="11">
        <v>0</v>
      </c>
      <c r="J78" s="11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1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</row>
    <row r="79" spans="1:83" x14ac:dyDescent="0.3">
      <c r="A79" t="s">
        <v>38</v>
      </c>
      <c r="B79">
        <v>139178</v>
      </c>
      <c r="D79">
        <v>0</v>
      </c>
      <c r="E79">
        <v>0</v>
      </c>
      <c r="F79">
        <v>0</v>
      </c>
      <c r="G79">
        <v>0</v>
      </c>
      <c r="H79">
        <v>0</v>
      </c>
      <c r="I79" s="11">
        <v>0</v>
      </c>
      <c r="J79" s="11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1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</row>
    <row r="80" spans="1:83" x14ac:dyDescent="0.3">
      <c r="A80" t="s">
        <v>73</v>
      </c>
      <c r="B80">
        <v>138122</v>
      </c>
      <c r="D80">
        <v>0</v>
      </c>
      <c r="E80">
        <v>0</v>
      </c>
      <c r="F80">
        <v>0</v>
      </c>
      <c r="G80">
        <v>0</v>
      </c>
      <c r="H80">
        <v>0</v>
      </c>
      <c r="I80" s="11">
        <v>0</v>
      </c>
      <c r="J80" s="11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1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</row>
    <row r="81" spans="1:91" x14ac:dyDescent="0.3">
      <c r="A81" t="s">
        <v>39</v>
      </c>
      <c r="B81">
        <v>123200</v>
      </c>
      <c r="D81">
        <v>0</v>
      </c>
      <c r="E81">
        <v>0</v>
      </c>
      <c r="F81">
        <v>0</v>
      </c>
      <c r="G81">
        <v>0</v>
      </c>
      <c r="H81">
        <v>0</v>
      </c>
      <c r="I81" s="11">
        <v>0</v>
      </c>
      <c r="J81" s="1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</row>
    <row r="82" spans="1:91" x14ac:dyDescent="0.3">
      <c r="A82" t="s">
        <v>40</v>
      </c>
      <c r="B82">
        <v>2081</v>
      </c>
      <c r="D82">
        <v>0</v>
      </c>
      <c r="E82">
        <v>0</v>
      </c>
      <c r="F82">
        <v>0</v>
      </c>
      <c r="G82">
        <v>0</v>
      </c>
      <c r="H82">
        <v>0</v>
      </c>
      <c r="I82" s="11">
        <v>0</v>
      </c>
      <c r="J82" s="11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</row>
    <row r="83" spans="1:91" x14ac:dyDescent="0.3">
      <c r="A83" t="s">
        <v>57</v>
      </c>
      <c r="B83">
        <v>103357</v>
      </c>
      <c r="D83">
        <v>0</v>
      </c>
      <c r="E83">
        <v>0</v>
      </c>
      <c r="F83">
        <v>0</v>
      </c>
      <c r="G83">
        <v>0</v>
      </c>
      <c r="H83">
        <v>0</v>
      </c>
      <c r="I83" s="11">
        <v>0</v>
      </c>
      <c r="J83" s="11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</row>
    <row r="84" spans="1:91" x14ac:dyDescent="0.3">
      <c r="A84" t="s">
        <v>58</v>
      </c>
      <c r="B84">
        <v>1371</v>
      </c>
      <c r="D84">
        <v>0</v>
      </c>
      <c r="E84">
        <v>0</v>
      </c>
      <c r="F84">
        <v>0</v>
      </c>
      <c r="G84">
        <v>0</v>
      </c>
      <c r="H84">
        <v>0</v>
      </c>
      <c r="I84" s="11">
        <v>0</v>
      </c>
      <c r="J84" s="11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1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</row>
    <row r="85" spans="1:91" x14ac:dyDescent="0.3">
      <c r="A85" t="s">
        <v>59</v>
      </c>
      <c r="B85">
        <v>1337</v>
      </c>
      <c r="D85">
        <v>0</v>
      </c>
      <c r="E85">
        <v>0</v>
      </c>
      <c r="F85">
        <v>0</v>
      </c>
      <c r="G85">
        <v>0</v>
      </c>
      <c r="H85">
        <v>0</v>
      </c>
      <c r="I85" s="11">
        <v>0</v>
      </c>
      <c r="J85" s="11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</row>
    <row r="86" spans="1:91" x14ac:dyDescent="0.3">
      <c r="A86" t="s">
        <v>41</v>
      </c>
      <c r="B86">
        <v>117267</v>
      </c>
      <c r="D86">
        <v>0</v>
      </c>
      <c r="E86">
        <v>0</v>
      </c>
      <c r="F86">
        <v>0</v>
      </c>
      <c r="G86">
        <v>0</v>
      </c>
      <c r="H86">
        <v>0</v>
      </c>
      <c r="I86" s="11">
        <v>0</v>
      </c>
      <c r="J86" s="11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</row>
    <row r="87" spans="1:91" x14ac:dyDescent="0.3">
      <c r="A87" t="s">
        <v>203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1</v>
      </c>
      <c r="BZ87">
        <v>1</v>
      </c>
      <c r="CA87">
        <v>1</v>
      </c>
      <c r="CB87">
        <v>0</v>
      </c>
      <c r="CC87">
        <v>0</v>
      </c>
      <c r="CD87">
        <v>0</v>
      </c>
      <c r="CE87">
        <v>0</v>
      </c>
    </row>
    <row r="88" spans="1:91" x14ac:dyDescent="0.3">
      <c r="A88" t="s">
        <v>197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1</v>
      </c>
      <c r="CB88">
        <v>1</v>
      </c>
      <c r="CC88">
        <v>0</v>
      </c>
      <c r="CD88">
        <v>1</v>
      </c>
      <c r="CE88">
        <v>0</v>
      </c>
      <c r="CL88">
        <v>1</v>
      </c>
    </row>
    <row r="89" spans="1:91" x14ac:dyDescent="0.3">
      <c r="A89" t="s">
        <v>64</v>
      </c>
      <c r="B89">
        <v>126433</v>
      </c>
      <c r="D89">
        <v>0</v>
      </c>
      <c r="E89">
        <v>0</v>
      </c>
      <c r="F89">
        <v>0</v>
      </c>
      <c r="G89">
        <v>0</v>
      </c>
      <c r="H89">
        <v>0</v>
      </c>
      <c r="I89" s="11">
        <v>0</v>
      </c>
      <c r="J89" s="11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1</v>
      </c>
      <c r="BZ89">
        <v>0</v>
      </c>
      <c r="CA89">
        <v>1</v>
      </c>
      <c r="CB89">
        <v>1</v>
      </c>
      <c r="CC89">
        <v>0</v>
      </c>
      <c r="CD89">
        <v>1</v>
      </c>
      <c r="CE89">
        <v>0</v>
      </c>
    </row>
    <row r="90" spans="1:91" x14ac:dyDescent="0.3">
      <c r="A90" t="s">
        <v>204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1</v>
      </c>
      <c r="CB90">
        <v>1</v>
      </c>
      <c r="CC90">
        <v>0</v>
      </c>
      <c r="CD90">
        <v>1</v>
      </c>
      <c r="CE90">
        <v>0</v>
      </c>
    </row>
    <row r="91" spans="1:91" x14ac:dyDescent="0.3">
      <c r="A91" t="s">
        <v>205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</row>
    <row r="92" spans="1:91" x14ac:dyDescent="0.3">
      <c r="A92" t="s">
        <v>68</v>
      </c>
      <c r="B92">
        <v>137129</v>
      </c>
      <c r="D92">
        <v>0</v>
      </c>
      <c r="E92">
        <v>0</v>
      </c>
      <c r="F92">
        <v>0</v>
      </c>
      <c r="G92">
        <v>0</v>
      </c>
      <c r="H92">
        <v>0</v>
      </c>
      <c r="I92" s="11">
        <v>0</v>
      </c>
      <c r="J92" s="11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</row>
    <row r="93" spans="1:91" x14ac:dyDescent="0.3">
      <c r="A93" t="s">
        <v>69</v>
      </c>
      <c r="B93">
        <v>137134</v>
      </c>
      <c r="D93">
        <v>0</v>
      </c>
      <c r="E93">
        <v>0</v>
      </c>
      <c r="F93">
        <v>0</v>
      </c>
      <c r="G93">
        <v>0</v>
      </c>
      <c r="H93">
        <v>0</v>
      </c>
      <c r="I93" s="11">
        <v>0</v>
      </c>
      <c r="J93" s="11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</row>
    <row r="94" spans="1:91" x14ac:dyDescent="0.3">
      <c r="A94" t="s">
        <v>70</v>
      </c>
      <c r="B94">
        <v>137130</v>
      </c>
      <c r="D94">
        <v>0</v>
      </c>
      <c r="E94">
        <v>0</v>
      </c>
      <c r="F94">
        <v>0</v>
      </c>
      <c r="G94">
        <v>0</v>
      </c>
      <c r="H94">
        <v>0</v>
      </c>
      <c r="I94" s="11">
        <v>0</v>
      </c>
      <c r="J94" s="11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</row>
    <row r="95" spans="1:91" x14ac:dyDescent="0.3">
      <c r="A95" t="s">
        <v>67</v>
      </c>
      <c r="B95">
        <v>137085</v>
      </c>
      <c r="D95">
        <v>0</v>
      </c>
      <c r="E95">
        <v>0</v>
      </c>
      <c r="F95">
        <v>0</v>
      </c>
      <c r="G95">
        <v>0</v>
      </c>
      <c r="H95">
        <v>0</v>
      </c>
      <c r="I95" s="11">
        <v>0</v>
      </c>
      <c r="J95" s="11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</row>
    <row r="96" spans="1:91" x14ac:dyDescent="0.3">
      <c r="A96" t="s">
        <v>66</v>
      </c>
      <c r="B96">
        <v>159021</v>
      </c>
      <c r="D96">
        <v>0</v>
      </c>
      <c r="E96">
        <v>0</v>
      </c>
      <c r="F96">
        <v>0</v>
      </c>
      <c r="G96">
        <v>0</v>
      </c>
      <c r="H96">
        <v>0</v>
      </c>
      <c r="I96" s="11">
        <v>0</v>
      </c>
      <c r="J96" s="11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</row>
    <row r="97" spans="1:83" x14ac:dyDescent="0.3">
      <c r="A97" t="s">
        <v>65</v>
      </c>
      <c r="B97">
        <v>137086</v>
      </c>
      <c r="D97">
        <v>0</v>
      </c>
      <c r="E97">
        <v>0</v>
      </c>
      <c r="F97">
        <v>0</v>
      </c>
      <c r="G97">
        <v>0</v>
      </c>
      <c r="H97">
        <v>0</v>
      </c>
      <c r="I97" s="11">
        <v>0</v>
      </c>
      <c r="J97" s="11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</row>
    <row r="104" spans="1:83" x14ac:dyDescent="0.3">
      <c r="BX104">
        <f>SUM(BX18:BX97)</f>
        <v>34</v>
      </c>
    </row>
  </sheetData>
  <conditionalFormatting sqref="D9:BT11 BV9:BW11 BZ9:CE11">
    <cfRule type="cellIs" dxfId="2" priority="3" operator="equal">
      <formula>"NA"</formula>
    </cfRule>
    <cfRule type="cellIs" dxfId="1" priority="6" operator="equal">
      <formula>0</formula>
    </cfRule>
  </conditionalFormatting>
  <conditionalFormatting sqref="D18:BU18 D29:E87 BY71:BY78 F87:BW87 BY87:CE87 D88:BT88 BU88:BW89 BY88:BY89 BZ88:CE90 D89:H89 K89:BT89 D90:BY90 D91:CE91 CH91:CM91 D92:H97 K92:CE97 D18:D28 BZ18:CE86 BV18:BX24 BX27:BX89 L19:BU24 L26:BX26 F27:H86 F19:K26 K27:BW86 K25:BX25">
    <cfRule type="cellIs" dxfId="0" priority="7" operator="greaterThan">
      <formula>0.5</formula>
    </cfRule>
    <cfRule type="cellIs" priority="8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0E05-4321-4F6A-BE5F-5FDAE2223BBB}">
  <dimension ref="A3:A10"/>
  <sheetViews>
    <sheetView workbookViewId="0">
      <selection activeCell="E22" sqref="E22"/>
    </sheetView>
  </sheetViews>
  <sheetFormatPr defaultColWidth="11.5546875" defaultRowHeight="14.4" x14ac:dyDescent="0.3"/>
  <sheetData>
    <row r="3" spans="1:1" x14ac:dyDescent="0.3">
      <c r="A3" s="3" t="s">
        <v>72</v>
      </c>
    </row>
    <row r="4" spans="1:1" x14ac:dyDescent="0.3">
      <c r="A4" t="s">
        <v>71</v>
      </c>
    </row>
    <row r="6" spans="1:1" x14ac:dyDescent="0.3">
      <c r="A6" t="s">
        <v>93</v>
      </c>
    </row>
    <row r="7" spans="1:1" x14ac:dyDescent="0.3">
      <c r="A7" t="s">
        <v>94</v>
      </c>
    </row>
    <row r="9" spans="1:1" x14ac:dyDescent="0.3">
      <c r="A9" t="s">
        <v>116</v>
      </c>
    </row>
    <row r="10" spans="1:1" x14ac:dyDescent="0.3">
      <c r="A10" t="s">
        <v>117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PredPreyMatrixArctic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Jungblut</dc:creator>
  <cp:lastModifiedBy>Juliane Entzian</cp:lastModifiedBy>
  <dcterms:created xsi:type="dcterms:W3CDTF">2025-03-19T09:46:14Z</dcterms:created>
  <dcterms:modified xsi:type="dcterms:W3CDTF">2025-11-26T13:43:01Z</dcterms:modified>
</cp:coreProperties>
</file>
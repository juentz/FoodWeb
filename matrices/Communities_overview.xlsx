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entz001\Documents\FoodWeb\matrices\"/>
    </mc:Choice>
  </mc:AlternateContent>
  <xr:revisionPtr revIDLastSave="0" documentId="13_ncr:1_{D447A9D9-8708-41B0-BA4F-E69DF5EA83AB}" xr6:coauthVersionLast="47" xr6:coauthVersionMax="47" xr10:uidLastSave="{00000000-0000-0000-0000-000000000000}"/>
  <bookViews>
    <workbookView xWindow="-96" yWindow="528" windowWidth="20472" windowHeight="12612" xr2:uid="{B35D7EF3-147B-4A25-AB50-6EA7F0E74B45}"/>
  </bookViews>
  <sheets>
    <sheet name="Overview" sheetId="1" r:id="rId1"/>
    <sheet name="Atlantic M" sheetId="2" r:id="rId2"/>
    <sheet name="Atlantic 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" l="1"/>
  <c r="F15" i="1"/>
  <c r="F17" i="1"/>
  <c r="E10" i="1"/>
  <c r="F19" i="1" s="1"/>
  <c r="C10" i="1"/>
  <c r="D25" i="1" s="1"/>
  <c r="F25" i="1" l="1"/>
  <c r="F23" i="1"/>
  <c r="F21" i="1"/>
  <c r="F10" i="1" s="1"/>
  <c r="D23" i="1"/>
  <c r="D21" i="1"/>
  <c r="D19" i="1"/>
  <c r="D17" i="1"/>
  <c r="D15" i="1"/>
  <c r="D13" i="1"/>
  <c r="D10" i="1" l="1"/>
</calcChain>
</file>

<file path=xl/sharedStrings.xml><?xml version="1.0" encoding="utf-8"?>
<sst xmlns="http://schemas.openxmlformats.org/spreadsheetml/2006/main" count="672" uniqueCount="292">
  <si>
    <t>EBSAs contained</t>
  </si>
  <si>
    <t>Multi-year Ice of the Central Arctic Ocean</t>
  </si>
  <si>
    <t>Southern Reykjanes Ridge</t>
  </si>
  <si>
    <t>Hatton and Rockall Banks and Basin</t>
  </si>
  <si>
    <t>Charlie-Gibbs Fracture Zone</t>
  </si>
  <si>
    <t>Mid-North-Atlantic Frontal System</t>
  </si>
  <si>
    <t>North Azores Plateau</t>
  </si>
  <si>
    <t>Ridge South of the Azores</t>
  </si>
  <si>
    <t>Atlantis-Meteor Seamount Complex</t>
  </si>
  <si>
    <t>Madeira - Tore</t>
  </si>
  <si>
    <t>The Sargasso Sea</t>
  </si>
  <si>
    <t>Labrador Sea Deep Convection Area</t>
  </si>
  <si>
    <t>Seabird Foraging Zone in the Southern Labrador Sea</t>
  </si>
  <si>
    <t>Orphan Knoll</t>
  </si>
  <si>
    <t>Slopes of the Flemish Cap and Grand Bank</t>
  </si>
  <si>
    <t>Zone de convergence des courants de Canarie-Guinée</t>
  </si>
  <si>
    <t>Atlantic Equatorial Fracture Zone and high productivity system</t>
  </si>
  <si>
    <t>Zone de production équatoriale de thons</t>
  </si>
  <si>
    <t>Benguela Upwelling System</t>
  </si>
  <si>
    <t>Walvis Ridge</t>
  </si>
  <si>
    <t>Subtropical Convergence Zone (STCZ)</t>
  </si>
  <si>
    <t>Sargasso Sea</t>
  </si>
  <si>
    <t>Equatorial High-Seas</t>
  </si>
  <si>
    <t>Southeast Atlantic</t>
  </si>
  <si>
    <t xml:space="preserve">Total Number of Taxa </t>
  </si>
  <si>
    <t>Reptiles</t>
  </si>
  <si>
    <t>Seabirds</t>
  </si>
  <si>
    <t>between ~50 and ~100</t>
  </si>
  <si>
    <t>South of Azores</t>
  </si>
  <si>
    <t>Northeast Atlantic</t>
  </si>
  <si>
    <t>Benguela (High Seas Sector)</t>
  </si>
  <si>
    <t>High level taxa</t>
  </si>
  <si>
    <t>Copepoda</t>
  </si>
  <si>
    <t>Ostracoda</t>
  </si>
  <si>
    <t>Isopoda</t>
  </si>
  <si>
    <t>Amphipoda</t>
  </si>
  <si>
    <t>Euphausiacea</t>
  </si>
  <si>
    <t>Decapoda</t>
  </si>
  <si>
    <t>Polychaeta</t>
  </si>
  <si>
    <t>Gastropoda</t>
  </si>
  <si>
    <t>Ophiurida</t>
  </si>
  <si>
    <t>Chaetognatha</t>
  </si>
  <si>
    <t>Appendicularia</t>
  </si>
  <si>
    <t>Hydrozoa</t>
  </si>
  <si>
    <t>Teleostei</t>
  </si>
  <si>
    <t>Aves</t>
  </si>
  <si>
    <t>Cetacea</t>
  </si>
  <si>
    <t>Phocidae</t>
  </si>
  <si>
    <t>Ursidae</t>
  </si>
  <si>
    <t>Mid-level Taxa</t>
  </si>
  <si>
    <t xml:space="preserve"> Calanidae</t>
  </si>
  <si>
    <t>Clausocalanidae</t>
  </si>
  <si>
    <t>Spinocalanidae</t>
  </si>
  <si>
    <t>Aetideidae</t>
  </si>
  <si>
    <t>Euchaetidae</t>
  </si>
  <si>
    <t>Scolecitrichidae</t>
  </si>
  <si>
    <t>Tharybidae</t>
  </si>
  <si>
    <t>Metridinidae</t>
  </si>
  <si>
    <t>Lucicutiidae</t>
  </si>
  <si>
    <t>Heterorhabdidae</t>
  </si>
  <si>
    <t>Augaptilidae</t>
  </si>
  <si>
    <t>Bathypontiidae</t>
  </si>
  <si>
    <t>Oithonidae</t>
  </si>
  <si>
    <t>Oncaeidae</t>
  </si>
  <si>
    <t>Harpacticoida</t>
  </si>
  <si>
    <t>Lubbockiidae</t>
  </si>
  <si>
    <t>Mormonillidae</t>
  </si>
  <si>
    <t>"other" Amphipoda</t>
  </si>
  <si>
    <t>Hyperiidae</t>
  </si>
  <si>
    <t>Euphausiidae</t>
  </si>
  <si>
    <t>Acanthephyridae</t>
  </si>
  <si>
    <t>Pteropoda</t>
  </si>
  <si>
    <t>Predator</t>
  </si>
  <si>
    <t>Taxa</t>
  </si>
  <si>
    <t>Bacteria</t>
  </si>
  <si>
    <t>Synechococcus</t>
  </si>
  <si>
    <t>Picophytoplankton</t>
  </si>
  <si>
    <t>Autotrophic nanoplankton</t>
  </si>
  <si>
    <t>Mixotrophic nanoplankton</t>
  </si>
  <si>
    <t>Heterotrophic nanoplankton</t>
  </si>
  <si>
    <t>Autotrophic microplankton</t>
  </si>
  <si>
    <t>Mixotrophic microplankton</t>
  </si>
  <si>
    <t>Heterotrophic microplankton</t>
  </si>
  <si>
    <t>Calanus finmarchicus</t>
  </si>
  <si>
    <t>Calanus glacialis</t>
  </si>
  <si>
    <t>Calanus hyperboreus</t>
  </si>
  <si>
    <t>Pseudocalanus minutus</t>
  </si>
  <si>
    <t>Microcalanus pygmaeus</t>
  </si>
  <si>
    <t>Spinocalanus antarcticus</t>
  </si>
  <si>
    <t xml:space="preserve">Spinocalanus spp. </t>
  </si>
  <si>
    <t>Spinocalanus longispinus (now Spinocalanus horridus)</t>
  </si>
  <si>
    <t>Spinocalanus elongatus</t>
  </si>
  <si>
    <t>Spinocalanus longicornis</t>
  </si>
  <si>
    <t>Aetideopsis rostrata</t>
  </si>
  <si>
    <t>Aetideopsis multiserrata</t>
  </si>
  <si>
    <t>Chiridius obtusifrons</t>
  </si>
  <si>
    <t>Gaidius brevispinus (now: Gaetanus brevispinus)</t>
  </si>
  <si>
    <t>Gaidius tenuispinus (now: Gaetanus tenuispinus)</t>
  </si>
  <si>
    <t>Pseudochirella elongata (now: Pseudochirella spectabilis)</t>
  </si>
  <si>
    <t>Chiridiella sp.</t>
  </si>
  <si>
    <t>Euchaeta spp.</t>
  </si>
  <si>
    <t>Euchaeta glacialis (now: Paraeuchaeta glacialis)</t>
  </si>
  <si>
    <t>Euchaeta barbata (now: Paraeuchaeta barbata barbata)</t>
  </si>
  <si>
    <t>Scaphocalanus magnus</t>
  </si>
  <si>
    <t>Scaphocalanus brevicornis</t>
  </si>
  <si>
    <t>Scolecithricella minor (now: Scolecithricella minor minor)</t>
  </si>
  <si>
    <t>Tharybis groenlandica</t>
  </si>
  <si>
    <t>Undinella oblonga</t>
  </si>
  <si>
    <t>Metridia longa</t>
  </si>
  <si>
    <t>Lucicutia polaris</t>
  </si>
  <si>
    <t>Heterorhabdus compactus (now: Paraheterorhabdus compactus)</t>
  </si>
  <si>
    <t>Heterorhabdus norvegicus</t>
  </si>
  <si>
    <t>Haloptilus acutifrons</t>
  </si>
  <si>
    <t>Augaptilus glacialis</t>
  </si>
  <si>
    <t>Temorites brevis</t>
  </si>
  <si>
    <t>Nauplien (here: Calanoida)</t>
  </si>
  <si>
    <t>CI-CIII indet. (here: Calanoida)</t>
  </si>
  <si>
    <t>Oithona atlantica</t>
  </si>
  <si>
    <t>Oithona similis</t>
  </si>
  <si>
    <t>Oncaea sp.</t>
  </si>
  <si>
    <t>Harpacticoidae (here: Harpacticoida)</t>
  </si>
  <si>
    <t>Tisbe sp.</t>
  </si>
  <si>
    <t>Lubbockia glacialis (now: Atrophia glacialis)</t>
  </si>
  <si>
    <t>Mormonilla sp.</t>
  </si>
  <si>
    <t>Themisto abyssorum</t>
  </si>
  <si>
    <t>Themisto libellula</t>
  </si>
  <si>
    <t>Thysanoessa longicaudata</t>
  </si>
  <si>
    <t>Hymenodora glacialis</t>
  </si>
  <si>
    <t>Clione limacina</t>
  </si>
  <si>
    <t xml:space="preserve">Limacina spp. </t>
  </si>
  <si>
    <t>Ophiuridae</t>
  </si>
  <si>
    <t>Appendicularien (here: Appendicularia)</t>
  </si>
  <si>
    <t>Siphonophora (now: Siphonophorae)</t>
  </si>
  <si>
    <t>Medusen (here: Hydrozoa)</t>
  </si>
  <si>
    <t>Solmundella bitentaculata</t>
  </si>
  <si>
    <t>Melanogrammus aeglefinus</t>
  </si>
  <si>
    <t>Mallotus villosus</t>
  </si>
  <si>
    <t>Boreogadus saida</t>
  </si>
  <si>
    <t>Gadus morhua</t>
  </si>
  <si>
    <t>Reinhardtius hippoglossoides</t>
  </si>
  <si>
    <t>Alle alle</t>
  </si>
  <si>
    <t>Uria lomvia</t>
  </si>
  <si>
    <t>Cepphus grylle</t>
  </si>
  <si>
    <t>Balaena mysticetus</t>
  </si>
  <si>
    <t>Balaenoptera acutorostrata</t>
  </si>
  <si>
    <t>Balaenoptera borealis</t>
  </si>
  <si>
    <t>Balaenoptera musculus</t>
  </si>
  <si>
    <t>Balaenoptera physalus</t>
  </si>
  <si>
    <t>Delphinapterus leucas</t>
  </si>
  <si>
    <t>Delphinus delphis</t>
  </si>
  <si>
    <t>Eschrichtius robustus</t>
  </si>
  <si>
    <t>Lagenorhynchus albirostris</t>
  </si>
  <si>
    <t>Leucopleurus acutus</t>
  </si>
  <si>
    <t>Monodon monoceros</t>
  </si>
  <si>
    <t>Megaptera novaeangliae</t>
  </si>
  <si>
    <t>Orcinus orca</t>
  </si>
  <si>
    <t>Phocoena phocoena</t>
  </si>
  <si>
    <t>Erignathus barbatus</t>
  </si>
  <si>
    <t>Pagophilus groenlandicus</t>
  </si>
  <si>
    <t>Phoca largha</t>
  </si>
  <si>
    <t>Phoca vitulina</t>
  </si>
  <si>
    <t>Pusa hispida</t>
  </si>
  <si>
    <t>Halichoerus grypus</t>
  </si>
  <si>
    <t>Histriophoca fasciata</t>
  </si>
  <si>
    <t>Odobenus rosmarus</t>
  </si>
  <si>
    <t>Ursus maritimus</t>
  </si>
  <si>
    <t>Prey</t>
  </si>
  <si>
    <t>AphiaID</t>
  </si>
  <si>
    <t>137116  </t>
  </si>
  <si>
    <t>Turnover rate: life expectancy</t>
  </si>
  <si>
    <t>NA</t>
  </si>
  <si>
    <t>1 year (Kosobokowa et al. 2010)</t>
  </si>
  <si>
    <t>17 days - 4 years (Cohen &amp; Morin 1990); 6 years (Cronin et al. 2010)</t>
  </si>
  <si>
    <t>3 years (Auel &amp; Werner 2003)</t>
  </si>
  <si>
    <t>25-32 years (for benthic adult Ophiopleura borealis, Dinevik et al. 2025) here, meroplanktic larvcae were sampled with the net!)</t>
  </si>
  <si>
    <t>700 days (for Parasagitta elegans, Welch et al. 1996), 3 years (for Parasagitta elegans, Grigor et al. 2014), 2 years (for Eukrohnia hamata, Grigor et al. 2017)</t>
  </si>
  <si>
    <t>10 years (Karamushko et al. 2021)</t>
  </si>
  <si>
    <t>&gt;20 years (Hovinen 2014)</t>
  </si>
  <si>
    <t>25 years (https://animaldiversity.org/accounts/Uria_lomvia/)</t>
  </si>
  <si>
    <t>10 years (Ewins 1986)</t>
  </si>
  <si>
    <t>exceeds 100 years (George 2009)</t>
  </si>
  <si>
    <t>40 to 50</t>
  </si>
  <si>
    <t>50 to 60</t>
  </si>
  <si>
    <t>70 to 90</t>
  </si>
  <si>
    <t>80 to 90</t>
  </si>
  <si>
    <t>35 to 50</t>
  </si>
  <si>
    <t>20 to 35</t>
  </si>
  <si>
    <t>50 to 70</t>
  </si>
  <si>
    <t>25 to 40</t>
  </si>
  <si>
    <t>8 to 10</t>
  </si>
  <si>
    <t>25 to 30</t>
  </si>
  <si>
    <t>30 to 35</t>
  </si>
  <si>
    <t>43 years (Ferguson et al. 2017), 20 years (Usher &amp; Church 1969)</t>
  </si>
  <si>
    <t>20 to 30</t>
  </si>
  <si>
    <t>30 to 40</t>
  </si>
  <si>
    <t xml:space="preserve">0.44 ± 0.13 Dry mass [mg] (female) (Kaiser et al. 2022) </t>
  </si>
  <si>
    <t xml:space="preserve">1.50 ± 0.61 Dry mass [mg] (female) (Kaiser et al. 2022) </t>
  </si>
  <si>
    <t xml:space="preserve">3.92 ± 1.44 Dry mass [mg] (female) (Kaiser et al. 2022) </t>
  </si>
  <si>
    <r>
      <t xml:space="preserve">15 µg DM (female) (Hirche &amp; Kosobokowa 2003); 12 µg DM (male) (Hirche &amp; Kosobokowa 2003); 0.023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0.009</t>
    </r>
    <r>
      <rPr>
        <sz val="11"/>
        <color theme="1"/>
        <rFont val="Aptos Narrow"/>
        <family val="2"/>
        <scheme val="minor"/>
      </rPr>
      <t xml:space="preserve"> mg DM (Richter 1994)</t>
    </r>
  </si>
  <si>
    <t>0.007 ± 0.004 mg DM (for Microcalanus spp., Richter 1994)</t>
  </si>
  <si>
    <t>0.013 ± 0.004 mg DM (for Spinocalanus spp., Richter 1994)</t>
  </si>
  <si>
    <t>0.034 mg C (female) (Kosobokowa et al. 2007); 0.013 ± 0.004 mg DM (for Spinocalanus spp., Richter 1994)</t>
  </si>
  <si>
    <t>mean from values in columns R to X?</t>
  </si>
  <si>
    <r>
      <t xml:space="preserve">0.62 (male); 0.60 </t>
    </r>
    <r>
      <rPr>
        <sz val="11"/>
        <color theme="1"/>
        <rFont val="Calibri"/>
        <family val="2"/>
      </rPr>
      <t>± 0.02 (female)</t>
    </r>
    <r>
      <rPr>
        <sz val="11"/>
        <color theme="1"/>
        <rFont val="Aptos Narrow"/>
        <family val="2"/>
        <scheme val="minor"/>
      </rPr>
      <t xml:space="preserve"> (Auel 1999);  0.55 ± 0.13 mg DW (female) (Kosobokowa et al. 2007); 402.58 ± 38.59 µg DW (CVIF); 481.75 ± 88.66 µg DW (CVIM) (Koguchi et al. 2023)</t>
    </r>
  </si>
  <si>
    <t>273.77 ± 93.21 µg DW (CVIF); 109.67 ± 13.39 µg DW (CVIM) (Koguchi et al. 2023)</t>
  </si>
  <si>
    <r>
      <t xml:space="preserve">0.26 mg (male); 0.64 </t>
    </r>
    <r>
      <rPr>
        <sz val="11"/>
        <color theme="1"/>
        <rFont val="Calibri"/>
        <family val="2"/>
      </rPr>
      <t>± 0.08 mg (female)</t>
    </r>
    <r>
      <rPr>
        <sz val="11"/>
        <color theme="1"/>
        <rFont val="Aptos Narrow"/>
        <family val="2"/>
        <scheme val="minor"/>
      </rPr>
      <t xml:space="preserve"> (Auel 1999); 0.81 ± 0.12 mg DW (female) (Kosobokowa et al. 2007); 514.48 ± 60.26 µg DW (CVIF); 177.28 ± 12.11 µg DW (CVIM) (Koguchi et al. 2023)</t>
    </r>
  </si>
  <si>
    <r>
      <t xml:space="preserve">0.61 (male); 0.91 </t>
    </r>
    <r>
      <rPr>
        <sz val="11"/>
        <color theme="1"/>
        <rFont val="Calibri"/>
        <family val="2"/>
      </rPr>
      <t>± 0.11 (female)</t>
    </r>
    <r>
      <rPr>
        <sz val="11"/>
        <color theme="1"/>
        <rFont val="Aptos Narrow"/>
        <family val="2"/>
        <scheme val="minor"/>
      </rPr>
      <t xml:space="preserve"> (Auel 1999);  0.94 ± 0.21 mg DW (female) (Kosobokowa et al. 2007); 557.75 ± 39.01 µg DW (CVIF); 345.35 ± 54.89 µg DW (CVIM) (Koguchi et al. 2023)</t>
    </r>
  </si>
  <si>
    <r>
      <t xml:space="preserve">0.23 (male); 0.50 </t>
    </r>
    <r>
      <rPr>
        <sz val="11"/>
        <color theme="1"/>
        <rFont val="Calibri"/>
        <family val="2"/>
      </rPr>
      <t>± 0.04 (female)</t>
    </r>
    <r>
      <rPr>
        <sz val="11"/>
        <color theme="1"/>
        <rFont val="Aptos Narrow"/>
        <family val="2"/>
        <scheme val="minor"/>
      </rPr>
      <t xml:space="preserve"> (Auel 1999); 0.51 ± 0.14 mg DW (female) (Kosobokowa et al. 2007); 376.40 ± 57.24 µg DW (CVIF); 209.45 ± 34.92 µg DW (CVIM) (Koguchi et al. 2023)</t>
    </r>
  </si>
  <si>
    <t>3.88 (female) (Auel 1999)</t>
  </si>
  <si>
    <t>0.31 (female of C. abyssalis) (Auel 1999)</t>
  </si>
  <si>
    <t>mean of the 2 Euchaeta values?</t>
  </si>
  <si>
    <r>
      <t xml:space="preserve">1.48 </t>
    </r>
    <r>
      <rPr>
        <sz val="11"/>
        <color theme="1"/>
        <rFont val="Calibri"/>
        <family val="2"/>
      </rPr>
      <t>± 0.34 (male)</t>
    </r>
    <r>
      <rPr>
        <sz val="11"/>
        <color theme="1"/>
        <rFont val="Aptos Narrow"/>
        <family val="2"/>
        <scheme val="minor"/>
      </rPr>
      <t xml:space="preserve">; 4.90 </t>
    </r>
    <r>
      <rPr>
        <sz val="11"/>
        <color theme="1"/>
        <rFont val="Calibri"/>
        <family val="2"/>
      </rPr>
      <t>± 1.76 (female)</t>
    </r>
    <r>
      <rPr>
        <sz val="11"/>
        <color theme="1"/>
        <rFont val="Aptos Narrow"/>
        <family val="2"/>
        <scheme val="minor"/>
      </rPr>
      <t xml:space="preserve"> (Auel 1999); 6.96 ± 1.62 Dry mass [mg] (female) (Kaiser et al. 2022); 7.96 ± 0.27 mg DW (female) (Kosobokowa et al. 2007); 4965 ± 920 µg DM (CVIF); 2393 ± 391 µg DM (CVIM) (Yamaguchi et al. 2022)</t>
    </r>
  </si>
  <si>
    <r>
      <t xml:space="preserve">4.02 </t>
    </r>
    <r>
      <rPr>
        <sz val="11"/>
        <color theme="1"/>
        <rFont val="Calibri"/>
        <family val="2"/>
      </rPr>
      <t>± 0.49 (male); 9.22 ±</t>
    </r>
    <r>
      <rPr>
        <sz val="11"/>
        <color theme="1"/>
        <rFont val="Aptos Narrow"/>
        <family val="2"/>
        <scheme val="minor"/>
      </rPr>
      <t xml:space="preserve"> 1.49 (female) (Auel 1999)</t>
    </r>
  </si>
  <si>
    <t>771.5 ± 78.2 µg DM (C6F); 690.5 ± 30.2 (C6M) (Yamaguchi et al. 2020)</t>
  </si>
  <si>
    <t>771.5 ± 78.2 µg DM (C6F); 690.5 ± 30.2 (C6M) (for Scaphocalanus magnus, Yamaguchi et al. 2020)</t>
  </si>
  <si>
    <t>0.024 ± 0.004 mg DW (Richter 1994)</t>
  </si>
  <si>
    <t>0.023 mg C (female) (Kosobokowa et al. 2007)</t>
  </si>
  <si>
    <r>
      <t xml:space="preserve">0.137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0.037 mg DW (CVI male); 0.287 ± 0.045 mg DW (CVI female) (Richter 1994)</t>
    </r>
  </si>
  <si>
    <t>0.43 ± 0.12 mg DW (female) (Kosobokowa et al. 2007); 340.2 ± 48.9 µg DM (CVIF); 297.2 ± 33.7 µg DM (CVIM) (Yamaguchi et al. 2022)</t>
  </si>
  <si>
    <t>0.20 mg C (female) (Kosobokowa et al. 2007)</t>
  </si>
  <si>
    <t>0.119 mg DM (for Paraeuchaeta barbata, Auel &amp; Hagen 2005)</t>
  </si>
  <si>
    <r>
      <t xml:space="preserve">0.094 mg DM (for Paraeuchaeta barbata CI); 0.13-0.14 mg DM (for Paraeuchaeta barbata CII); 0.26-.029 mg DM (for Paraeuchaeta barbata CIII); 0.14 mg DM (for Paraeuchaeta polaris CII); 0.23 mg DM (for Paraeuchaeta polaris CIII); 0.022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Aptos Narrow"/>
        <family val="2"/>
        <scheme val="minor"/>
      </rPr>
      <t xml:space="preserve">0.002 mg DM (for Paraeuchaeta glacialis/norvegica CI); 0.065 ± 0.020 mg DM (for Paraeuchaeta glacialis/norvegica CII); 0.144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Aptos Narrow"/>
        <family val="2"/>
        <scheme val="minor"/>
      </rPr>
      <t>0.018 mg DM (for Paraeuchaeta glacialis/norvegica CIII) (Auel &amp; Hagen 2005)</t>
    </r>
  </si>
  <si>
    <t>0.003 ± 0.000 mg DM (for Oithona spp., Richter 1994)</t>
  </si>
  <si>
    <t>0.002 ± 0.000 mg DM (Richter 1994)</t>
  </si>
  <si>
    <t>mean of the two Themisto species ?</t>
  </si>
  <si>
    <t xml:space="preserve">4.24 ± 5.15 Dry mass [mg] (Kaiser et al. 2022) </t>
  </si>
  <si>
    <t xml:space="preserve">10 - 51 mg DM (Auel &amp; Werner 2003); 8.51 ± 8.89 Dry mass [mg] (Kaiser et al. 2022) </t>
  </si>
  <si>
    <r>
      <t xml:space="preserve">4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1 mg DM (Richter 1994)</t>
    </r>
  </si>
  <si>
    <t>41 ± 32 mg DM (Richter 1994)</t>
  </si>
  <si>
    <t>0.062 mg DM (Richter 1994)</t>
  </si>
  <si>
    <t>32.3 ± 22.1 mg DM (Böer et al. 2005)</t>
  </si>
  <si>
    <t>0.343 mg DM (Richter 1994)</t>
  </si>
  <si>
    <t>0.2 mg DM (for Oikopleura vanhoeffeni, Richter 1994)</t>
  </si>
  <si>
    <t>0.8 mg DM (for Crystallophyes amygdalina, Richter 1994); 0.8 mg DM (for Dimophyes arctica, Richter 1994); 0.8 mg DM (for Muggiaea bargmannae, Richter 1994)</t>
  </si>
  <si>
    <r>
      <t xml:space="preserve">1.9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1.0</t>
    </r>
    <r>
      <rPr>
        <sz val="11"/>
        <color theme="1"/>
        <rFont val="Aptos Narrow"/>
        <family val="2"/>
        <scheme val="minor"/>
      </rPr>
      <t xml:space="preserve"> mg DM (for Aegina citrea, Richter 1994); 2.9 ± 1.2 mg DM (for Aglantha digitale, Richter 1994);</t>
    </r>
  </si>
  <si>
    <t>75000 kg</t>
  </si>
  <si>
    <t>10000 kg</t>
  </si>
  <si>
    <t>20000 kg</t>
  </si>
  <si>
    <t>130000 kg</t>
  </si>
  <si>
    <t>48000 kg</t>
  </si>
  <si>
    <t>1300 kg</t>
  </si>
  <si>
    <t>120 kg</t>
  </si>
  <si>
    <t>41000 kg</t>
  </si>
  <si>
    <t>220 kg</t>
  </si>
  <si>
    <t>230 kg</t>
  </si>
  <si>
    <t>950 kg</t>
  </si>
  <si>
    <t>28000 kg</t>
  </si>
  <si>
    <t>3000 kg</t>
  </si>
  <si>
    <t>60 kg</t>
  </si>
  <si>
    <t>280 kg</t>
  </si>
  <si>
    <t>130 kg</t>
  </si>
  <si>
    <t>85 kg</t>
  </si>
  <si>
    <t>96 kg</t>
  </si>
  <si>
    <t>75 kg</t>
  </si>
  <si>
    <t>250 kg</t>
  </si>
  <si>
    <t>1000 kg</t>
  </si>
  <si>
    <t>400 kg</t>
  </si>
  <si>
    <t>Turnover rate: respiration rate</t>
  </si>
  <si>
    <t xml:space="preserve">24.4 ± 8.5 nmol O2 h-1 mg-1 DM (female) (Kaiser et al. 2022) </t>
  </si>
  <si>
    <t xml:space="preserve">14.9 ± 7.3 nmol O2 h-1 mg-1 DM (female) (Kaiser et al. 2022) </t>
  </si>
  <si>
    <t xml:space="preserve">12.4 ± 7.5 nmol O2 h-1 mg-1 DM (female) (Kaiser et al. 2022) </t>
  </si>
  <si>
    <t>0.0069 µg O2 d-1 (female) (Auel 1999)</t>
  </si>
  <si>
    <t>0.0079 µg O2 d-1 (CV) (Auel 1999)</t>
  </si>
  <si>
    <t>0.0018 µg O2 d-1 (female) (Auel 1999)</t>
  </si>
  <si>
    <t xml:space="preserve">0.0018 µg O2 d-1 (female) (Auel 1999); 13.0 ± 4.1 nmol O2 h-1 mg-1 DM (female) (Kaiser et al. 2022) </t>
  </si>
  <si>
    <t>0.0010 µg O2 d-1 (female) (Auel 1999)</t>
  </si>
  <si>
    <t xml:space="preserve">20.4 ± 14.2 nmol O2 h-1 mg-1 DM (Kaiser et al. 2022) </t>
  </si>
  <si>
    <r>
      <t xml:space="preserve">12.1 </t>
    </r>
    <r>
      <rPr>
        <sz val="11"/>
        <color theme="1"/>
        <rFont val="Calibri"/>
        <family val="2"/>
      </rPr>
      <t>±</t>
    </r>
    <r>
      <rPr>
        <sz val="11"/>
        <color theme="1"/>
        <rFont val="Aptos Narrow"/>
        <family val="2"/>
        <scheme val="minor"/>
      </rPr>
      <t xml:space="preserve"> 4.1 [ml O2 day-1 (g DM)-1 (Auel &amp; Werner 2003); 1.07 </t>
    </r>
    <r>
      <rPr>
        <sz val="11"/>
        <color theme="1"/>
        <rFont val="Calibri"/>
        <family val="2"/>
      </rPr>
      <t>±</t>
    </r>
    <r>
      <rPr>
        <sz val="11"/>
        <color theme="1"/>
        <rFont val="Aptos Narrow"/>
        <family val="2"/>
        <scheme val="minor"/>
      </rPr>
      <t xml:space="preserve"> 0.36 Respiration as daily turn-over (% day-1) (Auel &amp; Werner 2003);  28.4 ± 13.5 nmol O2 h-1 mg-1 DM (Kaiser et al. 2022) </t>
    </r>
  </si>
  <si>
    <t>Pico- &amp; Microplankton</t>
  </si>
  <si>
    <t>Zooplankton</t>
  </si>
  <si>
    <t>Turnover rate: body mass mg</t>
  </si>
  <si>
    <t>final turnover rate</t>
  </si>
  <si>
    <t>Fishes</t>
  </si>
  <si>
    <t>Mammals</t>
  </si>
  <si>
    <t>Cyanobacteria</t>
  </si>
  <si>
    <t>target number</t>
  </si>
  <si>
    <t>primary producer</t>
  </si>
  <si>
    <t>Group name</t>
  </si>
  <si>
    <t>Taxa contained</t>
  </si>
  <si>
    <t>tothed wales</t>
  </si>
  <si>
    <t>orca, etc.</t>
  </si>
  <si>
    <t>seals</t>
  </si>
  <si>
    <t>Foodweb of the Greenland Sea</t>
  </si>
  <si>
    <t>Length</t>
  </si>
  <si>
    <t>Greenland Sea</t>
  </si>
  <si>
    <t>Central Arctic</t>
  </si>
  <si>
    <t xml:space="preserve">Fish </t>
  </si>
  <si>
    <t xml:space="preserve">Mammals </t>
  </si>
  <si>
    <t xml:space="preserve">Zooplankton </t>
  </si>
  <si>
    <t xml:space="preserve">Pico-,Nano-&amp;Microplankton </t>
  </si>
  <si>
    <t>Bacteria&amp;Detritus</t>
  </si>
  <si>
    <t xml:space="preserve">Labrador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</si>
</sst>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Lucida Console"/>
      <family val="3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9.35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vertical="center"/>
    </xf>
    <xf numFmtId="0" fontId="0" fillId="0" borderId="0" xfId="0" applyFont="1"/>
    <xf numFmtId="0" fontId="3" fillId="0" borderId="0" xfId="0" applyFont="1"/>
    <xf numFmtId="0" fontId="1" fillId="0" borderId="2" xfId="0" applyFont="1" applyBorder="1"/>
    <xf numFmtId="0" fontId="0" fillId="0" borderId="2" xfId="0" applyFont="1" applyBorder="1"/>
    <xf numFmtId="0" fontId="1" fillId="0" borderId="0" xfId="0" applyFont="1" applyBorder="1"/>
    <xf numFmtId="0" fontId="0" fillId="0" borderId="0" xfId="0" applyFont="1" applyBorder="1"/>
    <xf numFmtId="0" fontId="0" fillId="0" borderId="0" xfId="0" applyBorder="1"/>
    <xf numFmtId="0" fontId="1" fillId="0" borderId="4" xfId="0" applyFont="1" applyBorder="1"/>
    <xf numFmtId="0" fontId="1" fillId="0" borderId="5" xfId="0" applyFont="1" applyBorder="1"/>
    <xf numFmtId="0" fontId="0" fillId="0" borderId="4" xfId="0" applyBorder="1"/>
    <xf numFmtId="0" fontId="0" fillId="2" borderId="0" xfId="0" applyFill="1"/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5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0" fillId="0" borderId="2" xfId="0" applyBorder="1"/>
    <xf numFmtId="0" fontId="5" fillId="0" borderId="2" xfId="0" applyFont="1" applyBorder="1" applyAlignment="1">
      <alignment vertical="center"/>
    </xf>
    <xf numFmtId="11" fontId="0" fillId="0" borderId="2" xfId="0" applyNumberFormat="1" applyBorder="1"/>
    <xf numFmtId="0" fontId="0" fillId="9" borderId="2" xfId="0" applyFill="1" applyBorder="1"/>
    <xf numFmtId="0" fontId="3" fillId="0" borderId="2" xfId="0" applyFont="1" applyBorder="1"/>
    <xf numFmtId="0" fontId="3" fillId="9" borderId="0" xfId="0" applyFont="1" applyFill="1"/>
    <xf numFmtId="0" fontId="10" fillId="0" borderId="0" xfId="0" applyFont="1"/>
    <xf numFmtId="0" fontId="3" fillId="0" borderId="0" xfId="0" applyFont="1" applyBorder="1"/>
    <xf numFmtId="10" fontId="0" fillId="0" borderId="0" xfId="0" applyNumberFormat="1" applyBorder="1"/>
    <xf numFmtId="10" fontId="0" fillId="0" borderId="4" xfId="0" applyNumberFormat="1" applyBorder="1"/>
    <xf numFmtId="10" fontId="3" fillId="0" borderId="0" xfId="0" applyNumberFormat="1" applyFont="1"/>
    <xf numFmtId="0" fontId="2" fillId="0" borderId="2" xfId="0" applyFont="1" applyBorder="1" applyAlignment="1">
      <alignment vertical="center"/>
    </xf>
    <xf numFmtId="10" fontId="0" fillId="0" borderId="2" xfId="0" applyNumberFormat="1" applyBorder="1"/>
    <xf numFmtId="10" fontId="0" fillId="0" borderId="5" xfId="0" applyNumberFormat="1" applyBorder="1"/>
    <xf numFmtId="1" fontId="1" fillId="0" borderId="2" xfId="0" applyNumberFormat="1" applyFont="1" applyBorder="1"/>
    <xf numFmtId="0" fontId="0" fillId="0" borderId="5" xfId="0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Border="1" applyAlignment="1">
      <alignment vertical="center"/>
    </xf>
    <xf numFmtId="10" fontId="0" fillId="0" borderId="0" xfId="0" applyNumberFormat="1" applyFont="1" applyBorder="1"/>
    <xf numFmtId="1" fontId="11" fillId="0" borderId="2" xfId="0" applyNumberFormat="1" applyFont="1" applyBorder="1"/>
    <xf numFmtId="2" fontId="0" fillId="0" borderId="5" xfId="0" applyNumberFormat="1" applyBorder="1"/>
    <xf numFmtId="0" fontId="11" fillId="0" borderId="2" xfId="0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Greenland Sea</a:t>
            </a:r>
          </a:p>
        </c:rich>
      </c:tx>
      <c:layout>
        <c:manualLayout>
          <c:xMode val="edge"/>
          <c:yMode val="edge"/>
          <c:x val="0.2256256429484775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Overview!$F$13:$F$25</c:f>
              <c:numCache>
                <c:formatCode>0.00%</c:formatCode>
                <c:ptCount val="13"/>
                <c:pt idx="0">
                  <c:v>0.125</c:v>
                </c:pt>
                <c:pt idx="2">
                  <c:v>0.5</c:v>
                </c:pt>
                <c:pt idx="4">
                  <c:v>0.125</c:v>
                </c:pt>
                <c:pt idx="6">
                  <c:v>0</c:v>
                </c:pt>
                <c:pt idx="8">
                  <c:v>5.3571428571428568E-2</c:v>
                </c:pt>
                <c:pt idx="10">
                  <c:v>0.14285714285714285</c:v>
                </c:pt>
                <c:pt idx="12">
                  <c:v>5.3571428571428568E-2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2-44E6-A91F-078635583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Arctic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Overview!$D$13:$D$25</c:f>
              <c:numCache>
                <c:formatCode>0.00%</c:formatCode>
                <c:ptCount val="13"/>
                <c:pt idx="0">
                  <c:v>0.15555555555555556</c:v>
                </c:pt>
                <c:pt idx="2">
                  <c:v>0.6</c:v>
                </c:pt>
                <c:pt idx="4">
                  <c:v>4.4444444444444446E-2</c:v>
                </c:pt>
                <c:pt idx="6">
                  <c:v>0</c:v>
                </c:pt>
                <c:pt idx="8">
                  <c:v>4.4444444444444446E-2</c:v>
                </c:pt>
                <c:pt idx="10">
                  <c:v>8.8888888888888892E-2</c:v>
                </c:pt>
                <c:pt idx="12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7-430D-99A2-B3182185B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777240</xdr:colOff>
      <xdr:row>25</xdr:row>
      <xdr:rowOff>140970</xdr:rowOff>
    </xdr:from>
    <xdr:to>
      <xdr:col>6</xdr:col>
      <xdr:colOff>281940</xdr:colOff>
      <xdr:row>40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73D6B7-3131-D975-06BD-EDBDAAE9B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914400</xdr:colOff>
      <xdr:row>25</xdr:row>
      <xdr:rowOff>133350</xdr:rowOff>
    </xdr:from>
    <xdr:to>
      <xdr:col>4</xdr:col>
      <xdr:colOff>0</xdr:colOff>
      <xdr:row>40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442438-6316-A06E-F348-3872C4EB3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B079-DB12-488F-A810-34C0E7CB5120}">
  <dimension ref="B2:Q26"/>
  <sheetViews>
    <sheetView tabSelected="1" topLeftCell="A11" workbookViewId="0">
      <selection activeCell="I10" sqref="I10"/>
    </sheetView>
  </sheetViews>
  <sheetFormatPr defaultRowHeight="14.4" x14ac:dyDescent="0.3"/>
  <cols>
    <col min="2" max="2" width="24.88671875" style="1" customWidth="1"/>
    <col min="3" max="3" width="4.109375" style="6" customWidth="1"/>
    <col min="4" max="4" width="14.6640625" style="10" customWidth="1"/>
    <col min="5" max="5" width="4.109375" style="27" customWidth="1"/>
    <col min="6" max="6" width="14.6640625" style="10" customWidth="1"/>
    <col min="7" max="7" width="5.6640625" style="27" customWidth="1"/>
    <col min="8" max="8" width="16.33203125" customWidth="1"/>
    <col min="9" max="9" width="19.44140625" customWidth="1"/>
    <col min="10" max="10" width="18.109375" customWidth="1"/>
    <col min="11" max="11" width="13" customWidth="1"/>
    <col min="12" max="12" width="18.5546875" customWidth="1"/>
    <col min="13" max="13" width="23.77734375" customWidth="1"/>
    <col min="14" max="14" width="16.33203125" customWidth="1"/>
  </cols>
  <sheetData>
    <row r="2" spans="2:17" s="2" customFormat="1" x14ac:dyDescent="0.3">
      <c r="C2" s="45" t="s">
        <v>285</v>
      </c>
      <c r="D2" s="44"/>
      <c r="E2" s="45" t="s">
        <v>284</v>
      </c>
      <c r="F2" s="44"/>
      <c r="G2" s="45" t="s">
        <v>29</v>
      </c>
      <c r="H2" s="43"/>
      <c r="I2" s="2" t="s">
        <v>291</v>
      </c>
      <c r="J2" s="2" t="s">
        <v>28</v>
      </c>
      <c r="K2" s="2" t="s">
        <v>21</v>
      </c>
      <c r="L2" s="2" t="s">
        <v>22</v>
      </c>
      <c r="M2" s="2" t="s">
        <v>30</v>
      </c>
      <c r="N2" s="2" t="s">
        <v>23</v>
      </c>
    </row>
    <row r="3" spans="2:17" s="4" customFormat="1" ht="15.6" x14ac:dyDescent="0.3">
      <c r="B3" s="1" t="s">
        <v>0</v>
      </c>
      <c r="C3" s="46" t="s">
        <v>1</v>
      </c>
      <c r="E3" s="38"/>
      <c r="F3" s="3"/>
      <c r="G3" s="38" t="s">
        <v>2</v>
      </c>
      <c r="H3" s="3"/>
      <c r="I3" s="3" t="s">
        <v>11</v>
      </c>
      <c r="J3" s="3" t="s">
        <v>7</v>
      </c>
      <c r="K3" s="3" t="s">
        <v>10</v>
      </c>
      <c r="L3" s="3" t="s">
        <v>15</v>
      </c>
      <c r="M3" s="3" t="s">
        <v>18</v>
      </c>
      <c r="N3" s="3" t="s">
        <v>19</v>
      </c>
    </row>
    <row r="4" spans="2:17" ht="15.6" x14ac:dyDescent="0.3">
      <c r="D4" s="9"/>
      <c r="E4" s="7"/>
      <c r="F4" s="9"/>
      <c r="G4" s="38" t="s">
        <v>3</v>
      </c>
      <c r="H4" s="3"/>
      <c r="I4" s="3" t="s">
        <v>12</v>
      </c>
      <c r="J4" s="3" t="s">
        <v>8</v>
      </c>
      <c r="K4" s="4"/>
      <c r="L4" s="3" t="s">
        <v>16</v>
      </c>
      <c r="M4" s="4"/>
      <c r="N4" s="3" t="s">
        <v>20</v>
      </c>
      <c r="O4" s="4"/>
      <c r="P4" s="4"/>
      <c r="Q4" s="4"/>
    </row>
    <row r="5" spans="2:17" ht="15.6" x14ac:dyDescent="0.3">
      <c r="D5" s="9"/>
      <c r="E5" s="7"/>
      <c r="F5" s="9"/>
      <c r="G5" s="38" t="s">
        <v>4</v>
      </c>
      <c r="H5" s="3"/>
      <c r="I5" s="3" t="s">
        <v>13</v>
      </c>
      <c r="J5" s="3" t="s">
        <v>9</v>
      </c>
      <c r="K5" s="4"/>
      <c r="L5" s="3" t="s">
        <v>17</v>
      </c>
      <c r="M5" s="4"/>
      <c r="N5" s="4"/>
      <c r="O5" s="4"/>
      <c r="P5" s="4"/>
      <c r="Q5" s="4"/>
    </row>
    <row r="6" spans="2:17" ht="15.6" x14ac:dyDescent="0.3">
      <c r="D6" s="9"/>
      <c r="E6" s="7"/>
      <c r="F6" s="9"/>
      <c r="G6" s="38" t="s">
        <v>5</v>
      </c>
      <c r="H6" s="3"/>
      <c r="I6" s="3" t="s">
        <v>14</v>
      </c>
      <c r="J6" s="4"/>
      <c r="K6" s="4"/>
      <c r="L6" s="4"/>
      <c r="M6" s="4"/>
      <c r="N6" s="4"/>
      <c r="O6" s="4"/>
      <c r="P6" s="4"/>
      <c r="Q6" s="4"/>
    </row>
    <row r="7" spans="2:17" ht="15.6" x14ac:dyDescent="0.3">
      <c r="D7" s="9"/>
      <c r="E7" s="7"/>
      <c r="F7" s="9"/>
      <c r="G7" s="38" t="s">
        <v>6</v>
      </c>
      <c r="H7" s="3"/>
      <c r="I7" s="4"/>
      <c r="J7" s="4"/>
      <c r="K7" s="4"/>
      <c r="L7" s="4"/>
      <c r="M7" s="4"/>
      <c r="N7" s="4"/>
      <c r="O7" s="4"/>
      <c r="P7" s="4"/>
      <c r="Q7" s="4"/>
    </row>
    <row r="8" spans="2:17" x14ac:dyDescent="0.3">
      <c r="D8" s="9"/>
      <c r="E8" s="7"/>
      <c r="F8" s="9"/>
      <c r="G8" s="7"/>
      <c r="H8" s="4"/>
      <c r="I8" s="4"/>
      <c r="J8" s="4"/>
      <c r="K8" s="4"/>
      <c r="L8" s="4"/>
      <c r="M8" s="4"/>
      <c r="N8" s="4"/>
      <c r="O8" s="4"/>
      <c r="P8" s="4"/>
      <c r="Q8" s="4"/>
    </row>
    <row r="9" spans="2:17" x14ac:dyDescent="0.3">
      <c r="D9" s="9"/>
      <c r="E9" s="7"/>
      <c r="F9" s="9"/>
      <c r="G9" s="7"/>
      <c r="H9" s="4"/>
      <c r="I9" s="4"/>
      <c r="J9" s="4"/>
      <c r="K9" s="4"/>
      <c r="L9" s="4"/>
      <c r="M9" s="4"/>
      <c r="N9" s="4"/>
      <c r="O9" s="4"/>
      <c r="P9" s="4"/>
      <c r="Q9" s="4"/>
    </row>
    <row r="10" spans="2:17" s="1" customFormat="1" x14ac:dyDescent="0.3">
      <c r="B10" s="1" t="s">
        <v>24</v>
      </c>
      <c r="C10" s="6">
        <f xml:space="preserve"> SUM(C13:C25)</f>
        <v>45</v>
      </c>
      <c r="D10" s="47">
        <f>SUM(D13:D25)</f>
        <v>0.99999999999999989</v>
      </c>
      <c r="E10" s="41">
        <f>SUM(E13:E25)</f>
        <v>56</v>
      </c>
      <c r="F10" s="47">
        <f>SUM(F13:F25)</f>
        <v>1</v>
      </c>
      <c r="G10" s="6"/>
      <c r="L10" s="1">
        <v>100</v>
      </c>
    </row>
    <row r="11" spans="2:17" x14ac:dyDescent="0.3">
      <c r="B11" s="4" t="s">
        <v>27</v>
      </c>
      <c r="C11" s="7"/>
      <c r="D11" s="35"/>
      <c r="E11" s="39"/>
      <c r="F11" s="35"/>
    </row>
    <row r="12" spans="2:17" s="13" customFormat="1" x14ac:dyDescent="0.3">
      <c r="B12" s="11"/>
      <c r="C12" s="12"/>
      <c r="D12" s="36"/>
      <c r="E12" s="40"/>
      <c r="F12" s="36"/>
      <c r="G12" s="42"/>
    </row>
    <row r="13" spans="2:17" s="1" customFormat="1" x14ac:dyDescent="0.3">
      <c r="B13" s="1" t="s">
        <v>289</v>
      </c>
      <c r="C13" s="6">
        <v>7</v>
      </c>
      <c r="D13" s="47">
        <f>C13/C10</f>
        <v>0.15555555555555556</v>
      </c>
      <c r="E13" s="41">
        <v>7</v>
      </c>
      <c r="F13" s="35">
        <f>E13/E10</f>
        <v>0.125</v>
      </c>
      <c r="G13" s="6">
        <v>7</v>
      </c>
      <c r="I13" s="1">
        <v>9</v>
      </c>
      <c r="J13" s="1">
        <v>9</v>
      </c>
      <c r="K13" s="1">
        <v>9</v>
      </c>
      <c r="L13" s="1">
        <v>9</v>
      </c>
      <c r="M13" s="1">
        <v>9</v>
      </c>
      <c r="N13" s="1">
        <v>9</v>
      </c>
    </row>
    <row r="14" spans="2:17" x14ac:dyDescent="0.3">
      <c r="D14" s="37"/>
      <c r="E14" s="48"/>
      <c r="F14" s="37"/>
      <c r="G14" s="50"/>
      <c r="H14" s="5"/>
      <c r="I14" s="5"/>
      <c r="J14" s="5"/>
      <c r="K14" s="5"/>
      <c r="L14" s="5"/>
      <c r="M14" s="5"/>
      <c r="N14" s="5"/>
    </row>
    <row r="15" spans="2:17" x14ac:dyDescent="0.3">
      <c r="B15" s="1" t="s">
        <v>288</v>
      </c>
      <c r="C15" s="6">
        <v>27</v>
      </c>
      <c r="D15" s="37">
        <f>C15/C10</f>
        <v>0.6</v>
      </c>
      <c r="E15" s="48">
        <v>28</v>
      </c>
      <c r="F15" s="37">
        <f>E15/E10</f>
        <v>0.5</v>
      </c>
      <c r="G15" s="50"/>
      <c r="H15" s="5"/>
      <c r="I15" s="5"/>
      <c r="J15" s="5"/>
      <c r="K15" s="5"/>
      <c r="L15" s="5"/>
      <c r="M15" s="5"/>
      <c r="N15" s="5"/>
    </row>
    <row r="16" spans="2:17" x14ac:dyDescent="0.3">
      <c r="D16" s="37"/>
      <c r="E16" s="48"/>
      <c r="F16" s="35"/>
      <c r="G16" s="50"/>
      <c r="H16" s="5"/>
      <c r="I16" s="5"/>
      <c r="J16" s="5"/>
      <c r="K16" s="5"/>
      <c r="L16" s="5"/>
      <c r="M16" s="5"/>
      <c r="N16" s="5"/>
    </row>
    <row r="17" spans="2:14" x14ac:dyDescent="0.3">
      <c r="B17" s="1" t="s">
        <v>286</v>
      </c>
      <c r="C17" s="6">
        <v>2</v>
      </c>
      <c r="D17" s="37">
        <f>C17/C10</f>
        <v>4.4444444444444446E-2</v>
      </c>
      <c r="E17" s="48">
        <v>7</v>
      </c>
      <c r="F17" s="37">
        <f>E17/E10</f>
        <v>0.125</v>
      </c>
      <c r="G17" s="50"/>
      <c r="H17" s="5"/>
      <c r="I17" s="5"/>
      <c r="J17" s="5"/>
      <c r="K17" s="5"/>
      <c r="L17" s="5"/>
      <c r="M17" s="5"/>
      <c r="N17" s="5"/>
    </row>
    <row r="18" spans="2:14" x14ac:dyDescent="0.3">
      <c r="D18" s="35"/>
      <c r="E18" s="41"/>
      <c r="F18" s="37"/>
      <c r="G18" s="50"/>
      <c r="H18" s="5"/>
      <c r="I18" s="5"/>
      <c r="J18" s="5"/>
      <c r="K18" s="5"/>
      <c r="L18" s="5"/>
      <c r="M18" s="5"/>
      <c r="N18" s="5"/>
    </row>
    <row r="19" spans="2:14" x14ac:dyDescent="0.3">
      <c r="B19" s="1" t="s">
        <v>25</v>
      </c>
      <c r="C19" s="6">
        <v>0</v>
      </c>
      <c r="D19" s="37">
        <f>C19/C10</f>
        <v>0</v>
      </c>
      <c r="E19" s="48">
        <v>0</v>
      </c>
      <c r="F19" s="35">
        <f>E19/E10</f>
        <v>0</v>
      </c>
      <c r="G19" s="50"/>
      <c r="H19" s="5"/>
      <c r="I19" s="5"/>
      <c r="J19" s="5"/>
      <c r="K19" s="5"/>
      <c r="L19" s="5"/>
      <c r="M19" s="5"/>
      <c r="N19" s="5"/>
    </row>
    <row r="20" spans="2:14" x14ac:dyDescent="0.3">
      <c r="D20" s="37"/>
      <c r="E20" s="48"/>
      <c r="F20" s="37"/>
      <c r="G20" s="50"/>
      <c r="H20" s="5"/>
      <c r="I20" s="5"/>
      <c r="J20" s="5"/>
      <c r="K20" s="5"/>
      <c r="L20" s="5"/>
      <c r="M20" s="5"/>
      <c r="N20" s="5"/>
    </row>
    <row r="21" spans="2:14" x14ac:dyDescent="0.3">
      <c r="B21" s="1" t="s">
        <v>26</v>
      </c>
      <c r="C21" s="6">
        <v>2</v>
      </c>
      <c r="D21" s="37">
        <f>C21/C10</f>
        <v>4.4444444444444446E-2</v>
      </c>
      <c r="E21" s="48">
        <v>3</v>
      </c>
      <c r="F21" s="37">
        <f>E21/E10</f>
        <v>5.3571428571428568E-2</v>
      </c>
      <c r="G21" s="50"/>
      <c r="H21" s="5"/>
      <c r="I21" s="5"/>
      <c r="J21" s="5"/>
      <c r="K21" s="5"/>
      <c r="L21" s="5"/>
      <c r="M21" s="5"/>
      <c r="N21" s="5"/>
    </row>
    <row r="22" spans="2:14" x14ac:dyDescent="0.3">
      <c r="D22" s="37"/>
      <c r="E22" s="48"/>
      <c r="F22" s="35"/>
      <c r="G22" s="50"/>
      <c r="H22" s="5"/>
      <c r="I22" s="5"/>
      <c r="J22" s="5"/>
      <c r="K22" s="5"/>
      <c r="L22" s="5"/>
      <c r="M22" s="5"/>
      <c r="N22" s="5"/>
    </row>
    <row r="23" spans="2:14" x14ac:dyDescent="0.3">
      <c r="B23" s="1" t="s">
        <v>287</v>
      </c>
      <c r="C23" s="6">
        <v>4</v>
      </c>
      <c r="D23" s="37">
        <f>C23/C10</f>
        <v>8.8888888888888892E-2</v>
      </c>
      <c r="E23" s="48">
        <v>8</v>
      </c>
      <c r="F23" s="37">
        <f>E23/E10</f>
        <v>0.14285714285714285</v>
      </c>
      <c r="G23" s="50"/>
      <c r="H23" s="5"/>
      <c r="I23" s="5"/>
      <c r="J23" s="5"/>
      <c r="K23" s="5"/>
      <c r="L23" s="5"/>
      <c r="M23" s="5"/>
      <c r="N23" s="5"/>
    </row>
    <row r="24" spans="2:14" x14ac:dyDescent="0.3">
      <c r="D24" s="37"/>
      <c r="E24" s="48"/>
      <c r="F24" s="37"/>
      <c r="G24" s="50"/>
      <c r="H24" s="5"/>
      <c r="I24" s="5"/>
      <c r="J24" s="5"/>
      <c r="K24" s="5"/>
      <c r="L24" s="5"/>
      <c r="M24" s="5"/>
      <c r="N24" s="5"/>
    </row>
    <row r="25" spans="2:14" x14ac:dyDescent="0.3">
      <c r="B25" s="1" t="s">
        <v>290</v>
      </c>
      <c r="C25" s="6">
        <v>3</v>
      </c>
      <c r="D25" s="35">
        <f>C25/C10</f>
        <v>6.6666666666666666E-2</v>
      </c>
      <c r="E25" s="41">
        <v>3</v>
      </c>
      <c r="F25" s="35">
        <f>E25/E10</f>
        <v>5.3571428571428568E-2</v>
      </c>
      <c r="G25" s="6">
        <v>3</v>
      </c>
    </row>
    <row r="26" spans="2:14" s="13" customFormat="1" x14ac:dyDescent="0.3">
      <c r="B26" s="11"/>
      <c r="C26" s="12"/>
      <c r="E26" s="49"/>
      <c r="G26" s="42"/>
    </row>
  </sheetData>
  <mergeCells count="3">
    <mergeCell ref="E2:F2"/>
    <mergeCell ref="C2:D2"/>
    <mergeCell ref="G2:H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1372-8DFA-4A02-A927-D7279CD9F78F}">
  <dimension ref="B1:CX115"/>
  <sheetViews>
    <sheetView zoomScale="92" workbookViewId="0">
      <pane xSplit="4" ySplit="6" topLeftCell="AQ7" activePane="bottomRight" state="frozen"/>
      <selection pane="topRight" activeCell="E1" sqref="E1"/>
      <selection pane="bottomLeft" activeCell="A7" sqref="A7"/>
      <selection pane="bottomRight" activeCell="D11" sqref="D11"/>
    </sheetView>
  </sheetViews>
  <sheetFormatPr defaultRowHeight="14.4" x14ac:dyDescent="0.3"/>
  <cols>
    <col min="1" max="1" width="4.33203125" customWidth="1"/>
    <col min="2" max="2" width="6.109375" style="1" customWidth="1"/>
    <col min="4" max="4" width="27.33203125" customWidth="1"/>
    <col min="5" max="5" width="8.5546875" style="27" customWidth="1"/>
    <col min="6" max="6" width="8.88671875" style="10"/>
    <col min="14" max="14" width="8.88671875" style="27"/>
    <col min="15" max="15" width="8.88671875" style="10"/>
    <col min="72" max="72" width="8.88671875" style="27"/>
    <col min="73" max="73" width="8.88671875" style="10"/>
    <col min="77" max="77" width="8.88671875" style="27"/>
    <col min="78" max="78" width="8.88671875" style="10"/>
    <col min="80" max="80" width="8.88671875" style="27"/>
    <col min="81" max="81" width="8.88671875" style="10"/>
  </cols>
  <sheetData>
    <row r="1" spans="2:102" ht="21" x14ac:dyDescent="0.4">
      <c r="B1" s="33" t="s">
        <v>282</v>
      </c>
    </row>
    <row r="2" spans="2:102" s="1" customFormat="1" x14ac:dyDescent="0.3">
      <c r="C2" s="26" t="s">
        <v>72</v>
      </c>
      <c r="E2" s="6" t="s">
        <v>268</v>
      </c>
      <c r="F2" s="8"/>
      <c r="N2" s="6" t="s">
        <v>269</v>
      </c>
      <c r="BT2" s="6" t="s">
        <v>272</v>
      </c>
      <c r="BY2" s="6" t="s">
        <v>26</v>
      </c>
      <c r="CB2" s="6" t="s">
        <v>273</v>
      </c>
    </row>
    <row r="3" spans="2:102" s="1" customFormat="1" x14ac:dyDescent="0.3">
      <c r="D3" s="1" t="s">
        <v>275</v>
      </c>
      <c r="E3" s="6"/>
      <c r="F3" s="8"/>
      <c r="N3" s="6"/>
      <c r="BT3" s="6"/>
      <c r="BY3" s="6"/>
      <c r="CB3" s="6"/>
    </row>
    <row r="4" spans="2:102" x14ac:dyDescent="0.3">
      <c r="D4" t="s">
        <v>31</v>
      </c>
      <c r="N4" s="27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  <c r="AD4" t="s">
        <v>32</v>
      </c>
      <c r="AE4" t="s">
        <v>32</v>
      </c>
      <c r="AF4" t="s">
        <v>32</v>
      </c>
      <c r="AG4" t="s">
        <v>32</v>
      </c>
      <c r="AH4" t="s">
        <v>32</v>
      </c>
      <c r="AI4" t="s">
        <v>32</v>
      </c>
      <c r="AJ4" t="s">
        <v>32</v>
      </c>
      <c r="AK4" t="s">
        <v>32</v>
      </c>
      <c r="AL4" t="s">
        <v>32</v>
      </c>
      <c r="AM4" t="s">
        <v>32</v>
      </c>
      <c r="AN4" t="s">
        <v>32</v>
      </c>
      <c r="AO4" t="s">
        <v>32</v>
      </c>
      <c r="AP4" t="s">
        <v>32</v>
      </c>
      <c r="AQ4" t="s">
        <v>32</v>
      </c>
      <c r="AR4" t="s">
        <v>32</v>
      </c>
      <c r="AS4" t="s">
        <v>32</v>
      </c>
      <c r="AT4" t="s">
        <v>32</v>
      </c>
      <c r="AU4" t="s">
        <v>32</v>
      </c>
      <c r="AV4" t="s">
        <v>32</v>
      </c>
      <c r="AW4" t="s">
        <v>32</v>
      </c>
      <c r="AX4" t="s">
        <v>32</v>
      </c>
      <c r="AY4" t="s">
        <v>32</v>
      </c>
      <c r="AZ4" t="s">
        <v>32</v>
      </c>
      <c r="BA4" t="s">
        <v>32</v>
      </c>
      <c r="BB4" t="s">
        <v>32</v>
      </c>
      <c r="BC4" t="s">
        <v>32</v>
      </c>
      <c r="BD4" t="s">
        <v>33</v>
      </c>
      <c r="BE4" t="s">
        <v>34</v>
      </c>
      <c r="BF4" t="s">
        <v>35</v>
      </c>
      <c r="BG4" t="s">
        <v>35</v>
      </c>
      <c r="BH4" t="s">
        <v>35</v>
      </c>
      <c r="BI4" t="s">
        <v>36</v>
      </c>
      <c r="BJ4" t="s">
        <v>37</v>
      </c>
      <c r="BK4" t="s">
        <v>38</v>
      </c>
      <c r="BL4" t="s">
        <v>39</v>
      </c>
      <c r="BM4" t="s">
        <v>39</v>
      </c>
      <c r="BN4" t="s">
        <v>40</v>
      </c>
      <c r="BO4" t="s">
        <v>41</v>
      </c>
      <c r="BP4" t="s">
        <v>42</v>
      </c>
      <c r="BQ4" t="s">
        <v>43</v>
      </c>
      <c r="BR4" t="s">
        <v>43</v>
      </c>
      <c r="BS4" t="s">
        <v>43</v>
      </c>
      <c r="BU4"/>
      <c r="BV4" t="s">
        <v>44</v>
      </c>
      <c r="BY4" s="27" t="s">
        <v>45</v>
      </c>
      <c r="BZ4" t="s">
        <v>45</v>
      </c>
      <c r="CA4" t="s">
        <v>45</v>
      </c>
      <c r="CB4" s="27" t="s">
        <v>46</v>
      </c>
      <c r="CC4" t="s">
        <v>46</v>
      </c>
      <c r="CD4" t="s">
        <v>46</v>
      </c>
      <c r="CE4" t="s">
        <v>46</v>
      </c>
      <c r="CF4" t="s">
        <v>46</v>
      </c>
      <c r="CG4" t="s">
        <v>46</v>
      </c>
      <c r="CH4" t="s">
        <v>46</v>
      </c>
      <c r="CI4" t="s">
        <v>46</v>
      </c>
      <c r="CJ4" t="s">
        <v>46</v>
      </c>
      <c r="CK4" t="s">
        <v>46</v>
      </c>
      <c r="CL4" t="s">
        <v>46</v>
      </c>
      <c r="CM4" t="s">
        <v>46</v>
      </c>
      <c r="CN4" t="s">
        <v>46</v>
      </c>
      <c r="CO4" t="s">
        <v>46</v>
      </c>
      <c r="CP4" t="s">
        <v>47</v>
      </c>
      <c r="CQ4" t="s">
        <v>47</v>
      </c>
      <c r="CR4" t="s">
        <v>47</v>
      </c>
      <c r="CS4" t="s">
        <v>47</v>
      </c>
      <c r="CT4" t="s">
        <v>47</v>
      </c>
      <c r="CU4" t="s">
        <v>47</v>
      </c>
      <c r="CV4" t="s">
        <v>47</v>
      </c>
      <c r="CW4" t="s">
        <v>47</v>
      </c>
      <c r="CX4" t="s">
        <v>48</v>
      </c>
    </row>
    <row r="5" spans="2:102" x14ac:dyDescent="0.3">
      <c r="D5" t="s">
        <v>49</v>
      </c>
      <c r="F5" s="10" t="s">
        <v>274</v>
      </c>
      <c r="N5" s="27" t="s">
        <v>50</v>
      </c>
      <c r="O5" t="s">
        <v>50</v>
      </c>
      <c r="P5" t="s">
        <v>50</v>
      </c>
      <c r="Q5" t="s">
        <v>51</v>
      </c>
      <c r="R5" t="s">
        <v>51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54</v>
      </c>
      <c r="AG5" t="s">
        <v>54</v>
      </c>
      <c r="AH5" t="s">
        <v>54</v>
      </c>
      <c r="AI5" t="s">
        <v>55</v>
      </c>
      <c r="AJ5" t="s">
        <v>55</v>
      </c>
      <c r="AK5" t="s">
        <v>55</v>
      </c>
      <c r="AL5" t="s">
        <v>56</v>
      </c>
      <c r="AM5" t="s">
        <v>56</v>
      </c>
      <c r="AN5" t="s">
        <v>57</v>
      </c>
      <c r="AO5" t="s">
        <v>58</v>
      </c>
      <c r="AP5" t="s">
        <v>59</v>
      </c>
      <c r="AQ5" t="s">
        <v>59</v>
      </c>
      <c r="AR5" s="14" t="s">
        <v>60</v>
      </c>
      <c r="AS5" t="s">
        <v>60</v>
      </c>
      <c r="AT5" t="s">
        <v>61</v>
      </c>
      <c r="AW5" t="s">
        <v>62</v>
      </c>
      <c r="AX5" t="s">
        <v>62</v>
      </c>
      <c r="AY5" t="s">
        <v>63</v>
      </c>
      <c r="AZ5" t="s">
        <v>64</v>
      </c>
      <c r="BA5" t="s">
        <v>64</v>
      </c>
      <c r="BB5" t="s">
        <v>65</v>
      </c>
      <c r="BC5" t="s">
        <v>66</v>
      </c>
      <c r="BD5" t="s">
        <v>33</v>
      </c>
      <c r="BE5" t="s">
        <v>34</v>
      </c>
      <c r="BF5" t="s">
        <v>67</v>
      </c>
      <c r="BG5" t="s">
        <v>68</v>
      </c>
      <c r="BH5" t="s">
        <v>68</v>
      </c>
      <c r="BI5" t="s">
        <v>69</v>
      </c>
      <c r="BJ5" t="s">
        <v>70</v>
      </c>
      <c r="BK5" t="s">
        <v>38</v>
      </c>
      <c r="BL5" t="s">
        <v>71</v>
      </c>
      <c r="BM5" t="s">
        <v>71</v>
      </c>
      <c r="BN5" t="s">
        <v>40</v>
      </c>
      <c r="BO5" t="s">
        <v>41</v>
      </c>
      <c r="BP5" t="s">
        <v>42</v>
      </c>
      <c r="BQ5" t="s">
        <v>43</v>
      </c>
      <c r="BR5" t="s">
        <v>43</v>
      </c>
      <c r="BS5" t="s">
        <v>43</v>
      </c>
      <c r="BU5"/>
      <c r="BV5" t="s">
        <v>44</v>
      </c>
      <c r="BY5" s="27" t="s">
        <v>45</v>
      </c>
      <c r="BZ5" t="s">
        <v>45</v>
      </c>
      <c r="CA5" t="s">
        <v>45</v>
      </c>
      <c r="CB5" s="27" t="s">
        <v>46</v>
      </c>
      <c r="CC5" t="s">
        <v>46</v>
      </c>
      <c r="CD5" t="s">
        <v>46</v>
      </c>
      <c r="CE5" t="s">
        <v>46</v>
      </c>
      <c r="CF5" t="s">
        <v>46</v>
      </c>
      <c r="CG5" t="s">
        <v>46</v>
      </c>
      <c r="CH5" t="s">
        <v>46</v>
      </c>
      <c r="CI5" t="s">
        <v>46</v>
      </c>
      <c r="CJ5" t="s">
        <v>46</v>
      </c>
      <c r="CK5" t="s">
        <v>46</v>
      </c>
      <c r="CL5" t="s">
        <v>46</v>
      </c>
      <c r="CM5" t="s">
        <v>46</v>
      </c>
      <c r="CN5" t="s">
        <v>46</v>
      </c>
      <c r="CO5" t="s">
        <v>46</v>
      </c>
      <c r="CP5" t="s">
        <v>47</v>
      </c>
      <c r="CQ5" t="s">
        <v>47</v>
      </c>
      <c r="CR5" t="s">
        <v>47</v>
      </c>
      <c r="CS5" t="s">
        <v>47</v>
      </c>
      <c r="CT5" t="s">
        <v>47</v>
      </c>
      <c r="CU5" t="s">
        <v>47</v>
      </c>
      <c r="CV5" t="s">
        <v>47</v>
      </c>
      <c r="CW5" t="s">
        <v>47</v>
      </c>
      <c r="CX5" t="s">
        <v>48</v>
      </c>
    </row>
    <row r="6" spans="2:102" x14ac:dyDescent="0.3">
      <c r="B6" s="26" t="s">
        <v>166</v>
      </c>
      <c r="D6" s="1" t="s">
        <v>73</v>
      </c>
      <c r="E6" s="31" t="s">
        <v>74</v>
      </c>
      <c r="F6" s="34" t="s">
        <v>75</v>
      </c>
      <c r="G6" s="5" t="s">
        <v>76</v>
      </c>
      <c r="H6" s="5" t="s">
        <v>77</v>
      </c>
      <c r="I6" s="5" t="s">
        <v>78</v>
      </c>
      <c r="J6" s="5" t="s">
        <v>79</v>
      </c>
      <c r="K6" s="5" t="s">
        <v>80</v>
      </c>
      <c r="L6" s="5" t="s">
        <v>81</v>
      </c>
      <c r="M6" s="5" t="s">
        <v>82</v>
      </c>
      <c r="N6" s="27" t="s">
        <v>83</v>
      </c>
      <c r="O6" t="s">
        <v>84</v>
      </c>
      <c r="P6" t="s">
        <v>85</v>
      </c>
      <c r="Q6" t="s">
        <v>86</v>
      </c>
      <c r="R6" t="s">
        <v>87</v>
      </c>
      <c r="S6" s="16" t="s">
        <v>88</v>
      </c>
      <c r="T6" s="16" t="s">
        <v>89</v>
      </c>
      <c r="U6" s="16" t="s">
        <v>90</v>
      </c>
      <c r="V6" s="16" t="s">
        <v>91</v>
      </c>
      <c r="W6" s="16" t="s">
        <v>92</v>
      </c>
      <c r="X6" s="14" t="s">
        <v>53</v>
      </c>
      <c r="Y6" s="14" t="s">
        <v>93</v>
      </c>
      <c r="Z6" s="14" t="s">
        <v>94</v>
      </c>
      <c r="AA6" s="14" t="s">
        <v>95</v>
      </c>
      <c r="AB6" s="17" t="s">
        <v>96</v>
      </c>
      <c r="AC6" s="17" t="s">
        <v>97</v>
      </c>
      <c r="AD6" s="18" t="s">
        <v>98</v>
      </c>
      <c r="AE6" s="18" t="s">
        <v>99</v>
      </c>
      <c r="AF6" t="s">
        <v>100</v>
      </c>
      <c r="AG6" t="s">
        <v>101</v>
      </c>
      <c r="AH6" t="s">
        <v>102</v>
      </c>
      <c r="AI6" s="19" t="s">
        <v>103</v>
      </c>
      <c r="AJ6" s="19" t="s">
        <v>104</v>
      </c>
      <c r="AK6" s="19" t="s">
        <v>105</v>
      </c>
      <c r="AL6" s="18" t="s">
        <v>106</v>
      </c>
      <c r="AM6" s="18" t="s">
        <v>107</v>
      </c>
      <c r="AN6" t="s">
        <v>108</v>
      </c>
      <c r="AO6" t="s">
        <v>109</v>
      </c>
      <c r="AP6" t="s">
        <v>110</v>
      </c>
      <c r="AQ6" t="s">
        <v>111</v>
      </c>
      <c r="AR6" s="14" t="s">
        <v>112</v>
      </c>
      <c r="AS6" s="14" t="s">
        <v>113</v>
      </c>
      <c r="AT6" t="s">
        <v>114</v>
      </c>
      <c r="AU6" t="s">
        <v>115</v>
      </c>
      <c r="AV6" t="s">
        <v>116</v>
      </c>
      <c r="AW6" s="20" t="s">
        <v>117</v>
      </c>
      <c r="AX6" s="21" t="s">
        <v>118</v>
      </c>
      <c r="AY6" s="21" t="s">
        <v>119</v>
      </c>
      <c r="AZ6" t="s">
        <v>120</v>
      </c>
      <c r="BA6" t="s">
        <v>121</v>
      </c>
      <c r="BB6" t="s">
        <v>122</v>
      </c>
      <c r="BC6" t="s">
        <v>123</v>
      </c>
      <c r="BD6" t="s">
        <v>33</v>
      </c>
      <c r="BE6" t="s">
        <v>34</v>
      </c>
      <c r="BF6" t="s">
        <v>35</v>
      </c>
      <c r="BG6" t="s">
        <v>124</v>
      </c>
      <c r="BH6" t="s">
        <v>125</v>
      </c>
      <c r="BI6" t="s">
        <v>126</v>
      </c>
      <c r="BJ6" t="s">
        <v>127</v>
      </c>
      <c r="BK6" t="s">
        <v>38</v>
      </c>
      <c r="BL6" t="s">
        <v>128</v>
      </c>
      <c r="BM6" t="s">
        <v>129</v>
      </c>
      <c r="BN6" t="s">
        <v>130</v>
      </c>
      <c r="BO6" t="s">
        <v>41</v>
      </c>
      <c r="BP6" t="s">
        <v>131</v>
      </c>
      <c r="BQ6" s="17" t="s">
        <v>132</v>
      </c>
      <c r="BR6" s="22" t="s">
        <v>133</v>
      </c>
      <c r="BS6" s="17" t="s">
        <v>134</v>
      </c>
      <c r="BT6" s="30" t="s">
        <v>135</v>
      </c>
      <c r="BU6" s="22" t="s">
        <v>136</v>
      </c>
      <c r="BV6" t="s">
        <v>137</v>
      </c>
      <c r="BW6" t="s">
        <v>138</v>
      </c>
      <c r="BX6" t="s">
        <v>139</v>
      </c>
      <c r="BY6" s="27" t="s">
        <v>140</v>
      </c>
      <c r="BZ6" t="s">
        <v>141</v>
      </c>
      <c r="CA6" t="s">
        <v>142</v>
      </c>
      <c r="CB6" s="27" t="s">
        <v>143</v>
      </c>
      <c r="CC6" t="s">
        <v>144</v>
      </c>
      <c r="CD6" t="s">
        <v>145</v>
      </c>
      <c r="CE6" t="s">
        <v>146</v>
      </c>
      <c r="CF6" t="s">
        <v>147</v>
      </c>
      <c r="CG6" t="s">
        <v>148</v>
      </c>
      <c r="CH6" t="s">
        <v>149</v>
      </c>
      <c r="CI6" t="s">
        <v>150</v>
      </c>
      <c r="CJ6" t="s">
        <v>151</v>
      </c>
      <c r="CK6" t="s">
        <v>152</v>
      </c>
      <c r="CL6" t="s">
        <v>153</v>
      </c>
      <c r="CM6" t="s">
        <v>154</v>
      </c>
      <c r="CN6" t="s">
        <v>155</v>
      </c>
      <c r="CO6" t="s">
        <v>156</v>
      </c>
      <c r="CP6" t="s">
        <v>157</v>
      </c>
      <c r="CQ6" t="s">
        <v>158</v>
      </c>
      <c r="CR6" t="s">
        <v>159</v>
      </c>
      <c r="CS6" t="s">
        <v>160</v>
      </c>
      <c r="CT6" t="s">
        <v>161</v>
      </c>
      <c r="CU6" t="s">
        <v>162</v>
      </c>
      <c r="CV6" t="s">
        <v>163</v>
      </c>
      <c r="CW6" t="s">
        <v>164</v>
      </c>
      <c r="CX6" t="s">
        <v>165</v>
      </c>
    </row>
    <row r="7" spans="2:102" x14ac:dyDescent="0.3">
      <c r="D7" s="1" t="s">
        <v>167</v>
      </c>
      <c r="E7" s="27">
        <v>6</v>
      </c>
      <c r="F7" s="10">
        <v>160572</v>
      </c>
      <c r="G7" s="15">
        <v>2</v>
      </c>
      <c r="H7" s="15">
        <v>3</v>
      </c>
      <c r="I7" s="15">
        <v>4</v>
      </c>
      <c r="J7" s="15">
        <v>5</v>
      </c>
      <c r="K7" s="15">
        <v>7</v>
      </c>
      <c r="L7" s="15">
        <v>9</v>
      </c>
      <c r="M7" s="15">
        <v>10</v>
      </c>
      <c r="N7" s="27">
        <v>104464</v>
      </c>
      <c r="O7">
        <v>104465</v>
      </c>
      <c r="P7">
        <v>104467</v>
      </c>
      <c r="Q7">
        <v>104517</v>
      </c>
      <c r="R7">
        <v>104513</v>
      </c>
      <c r="S7">
        <v>254612</v>
      </c>
      <c r="T7">
        <v>104236</v>
      </c>
      <c r="U7">
        <v>104851</v>
      </c>
      <c r="V7">
        <v>254613</v>
      </c>
      <c r="W7">
        <v>104852</v>
      </c>
      <c r="X7">
        <v>104075</v>
      </c>
      <c r="Y7">
        <v>104272</v>
      </c>
      <c r="Z7">
        <v>104270</v>
      </c>
      <c r="AA7">
        <v>104292</v>
      </c>
      <c r="AB7">
        <v>254602</v>
      </c>
      <c r="AC7">
        <v>237965</v>
      </c>
      <c r="AD7">
        <v>104339</v>
      </c>
      <c r="AE7">
        <v>104116</v>
      </c>
      <c r="AF7">
        <v>104174</v>
      </c>
      <c r="AG7">
        <v>104560</v>
      </c>
      <c r="AH7">
        <v>1507271</v>
      </c>
      <c r="AI7">
        <v>104798</v>
      </c>
      <c r="AJ7">
        <v>104790</v>
      </c>
      <c r="AK7">
        <v>1509944</v>
      </c>
      <c r="AL7">
        <v>362051</v>
      </c>
      <c r="AM7">
        <v>104895</v>
      </c>
      <c r="AN7">
        <v>104632</v>
      </c>
      <c r="AO7">
        <v>220910</v>
      </c>
      <c r="AP7">
        <v>254603</v>
      </c>
      <c r="AQ7">
        <v>104579</v>
      </c>
      <c r="AR7">
        <v>104422</v>
      </c>
      <c r="AS7">
        <v>104372</v>
      </c>
      <c r="AT7">
        <v>104459</v>
      </c>
      <c r="AU7">
        <v>1100</v>
      </c>
      <c r="AV7" s="23">
        <v>11001</v>
      </c>
      <c r="AW7">
        <v>106642</v>
      </c>
      <c r="AX7">
        <v>106656</v>
      </c>
      <c r="AY7">
        <v>128690</v>
      </c>
      <c r="AZ7">
        <v>1102</v>
      </c>
      <c r="BA7">
        <v>115484</v>
      </c>
      <c r="BB7">
        <v>346121</v>
      </c>
      <c r="BC7">
        <v>119816</v>
      </c>
      <c r="BD7">
        <v>1078</v>
      </c>
      <c r="BE7">
        <v>1131</v>
      </c>
      <c r="BF7">
        <v>1135</v>
      </c>
      <c r="BG7">
        <v>103259</v>
      </c>
      <c r="BH7">
        <v>156452</v>
      </c>
      <c r="BI7">
        <v>110709</v>
      </c>
      <c r="BJ7">
        <v>107590</v>
      </c>
      <c r="BK7">
        <v>883</v>
      </c>
      <c r="BL7">
        <v>139178</v>
      </c>
      <c r="BM7">
        <v>138122</v>
      </c>
      <c r="BN7">
        <v>123200</v>
      </c>
      <c r="BO7">
        <v>2081</v>
      </c>
      <c r="BP7">
        <v>103357</v>
      </c>
      <c r="BQ7">
        <v>1371</v>
      </c>
      <c r="BR7">
        <v>1337</v>
      </c>
      <c r="BS7">
        <v>117267</v>
      </c>
      <c r="BT7" s="27">
        <v>126437</v>
      </c>
      <c r="BU7">
        <v>126735</v>
      </c>
      <c r="BV7">
        <v>126433</v>
      </c>
      <c r="BW7">
        <v>126436</v>
      </c>
      <c r="BX7">
        <v>127144</v>
      </c>
      <c r="BY7" s="27">
        <v>137129</v>
      </c>
      <c r="BZ7">
        <v>137134</v>
      </c>
      <c r="CA7">
        <v>137130</v>
      </c>
      <c r="CB7" s="28">
        <v>137086</v>
      </c>
      <c r="CC7" s="24">
        <v>137087</v>
      </c>
      <c r="CD7" s="24">
        <v>137088</v>
      </c>
      <c r="CE7" s="24">
        <v>137090</v>
      </c>
      <c r="CF7" s="24">
        <v>137091</v>
      </c>
      <c r="CG7" s="24">
        <v>137115</v>
      </c>
      <c r="CH7" s="24">
        <v>137094</v>
      </c>
      <c r="CI7" s="24">
        <v>137112</v>
      </c>
      <c r="CJ7" s="24">
        <v>137101</v>
      </c>
      <c r="CK7" s="24">
        <v>1571853</v>
      </c>
      <c r="CL7" s="25" t="s">
        <v>168</v>
      </c>
      <c r="CM7" s="24">
        <v>137092</v>
      </c>
      <c r="CN7" s="24">
        <v>137102</v>
      </c>
      <c r="CO7" s="24">
        <v>137117</v>
      </c>
      <c r="CP7" s="24">
        <v>137079</v>
      </c>
      <c r="CQ7" s="24">
        <v>159019</v>
      </c>
      <c r="CR7" s="24">
        <v>255021</v>
      </c>
      <c r="CS7" s="24">
        <v>137084</v>
      </c>
      <c r="CT7" s="24">
        <v>159021</v>
      </c>
      <c r="CU7" s="24">
        <v>137080</v>
      </c>
      <c r="CV7" s="24">
        <v>255017</v>
      </c>
      <c r="CW7" s="24">
        <v>137077</v>
      </c>
      <c r="CX7" s="24">
        <v>137085</v>
      </c>
    </row>
    <row r="8" spans="2:102" hidden="1" x14ac:dyDescent="0.3">
      <c r="C8" s="26"/>
      <c r="D8" s="1"/>
      <c r="G8" s="15"/>
      <c r="H8" s="15"/>
      <c r="I8" s="15"/>
      <c r="J8" s="15"/>
      <c r="K8" s="15"/>
      <c r="L8" s="15"/>
      <c r="M8" s="15"/>
      <c r="O8"/>
      <c r="AV8" s="23"/>
      <c r="BU8"/>
      <c r="BZ8"/>
      <c r="CB8" s="28"/>
      <c r="CC8" s="24"/>
      <c r="CD8" s="24"/>
      <c r="CE8" s="24"/>
      <c r="CF8" s="24"/>
      <c r="CG8" s="24"/>
      <c r="CH8" s="24"/>
      <c r="CI8" s="24"/>
      <c r="CJ8" s="24"/>
      <c r="CK8" s="24"/>
      <c r="CL8" s="25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</row>
    <row r="9" spans="2:102" x14ac:dyDescent="0.3">
      <c r="C9" s="26"/>
      <c r="D9" s="1"/>
      <c r="G9" s="15"/>
      <c r="H9" s="15"/>
      <c r="I9" s="15"/>
      <c r="J9" s="15"/>
      <c r="K9" s="15"/>
      <c r="L9" s="15"/>
      <c r="M9" s="15"/>
      <c r="O9"/>
      <c r="AV9" s="23"/>
      <c r="BU9"/>
      <c r="BZ9"/>
      <c r="CB9" s="28"/>
      <c r="CC9" s="24"/>
      <c r="CD9" s="24"/>
      <c r="CE9" s="24"/>
      <c r="CF9" s="24"/>
      <c r="CG9" s="24"/>
      <c r="CH9" s="24"/>
      <c r="CI9" s="24"/>
      <c r="CJ9" s="24"/>
      <c r="CK9" s="24"/>
      <c r="CL9" s="25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</row>
    <row r="10" spans="2:102" x14ac:dyDescent="0.3">
      <c r="C10" s="26"/>
      <c r="D10" s="1" t="s">
        <v>283</v>
      </c>
      <c r="G10" s="15"/>
      <c r="H10" s="15"/>
      <c r="I10" s="15"/>
      <c r="J10" s="15"/>
      <c r="K10" s="15"/>
      <c r="L10" s="15"/>
      <c r="M10" s="15"/>
      <c r="O10"/>
      <c r="AV10" s="23"/>
      <c r="BU10"/>
      <c r="BZ10"/>
      <c r="CB10" s="28"/>
      <c r="CC10" s="24"/>
      <c r="CD10" s="24"/>
      <c r="CE10" s="24"/>
      <c r="CF10" s="24"/>
      <c r="CG10" s="24"/>
      <c r="CH10" s="24"/>
      <c r="CI10" s="24"/>
      <c r="CJ10" s="24"/>
      <c r="CK10" s="24"/>
      <c r="CL10" s="25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</row>
    <row r="11" spans="2:102" x14ac:dyDescent="0.3">
      <c r="C11" s="15"/>
      <c r="D11" s="1" t="s">
        <v>169</v>
      </c>
      <c r="E11" s="27" t="s">
        <v>170</v>
      </c>
      <c r="N11" s="27" t="s">
        <v>170</v>
      </c>
      <c r="O11" t="s">
        <v>170</v>
      </c>
      <c r="P11" t="s">
        <v>170</v>
      </c>
      <c r="Q11" t="s">
        <v>170</v>
      </c>
      <c r="R11" t="s">
        <v>170</v>
      </c>
      <c r="S11" t="s">
        <v>170</v>
      </c>
      <c r="T11" t="s">
        <v>170</v>
      </c>
      <c r="U11" t="s">
        <v>170</v>
      </c>
      <c r="V11" t="s">
        <v>170</v>
      </c>
      <c r="W11" t="s">
        <v>170</v>
      </c>
      <c r="X11" t="s">
        <v>170</v>
      </c>
      <c r="Y11" t="s">
        <v>170</v>
      </c>
      <c r="Z11" t="s">
        <v>170</v>
      </c>
      <c r="AA11" t="s">
        <v>170</v>
      </c>
      <c r="AB11" t="s">
        <v>170</v>
      </c>
      <c r="AC11" t="s">
        <v>170</v>
      </c>
      <c r="AD11" t="s">
        <v>170</v>
      </c>
      <c r="AE11" t="s">
        <v>170</v>
      </c>
      <c r="AF11" t="s">
        <v>170</v>
      </c>
      <c r="AG11" t="s">
        <v>170</v>
      </c>
      <c r="AH11" t="s">
        <v>170</v>
      </c>
      <c r="AI11" t="s">
        <v>170</v>
      </c>
      <c r="AJ11" t="s">
        <v>170</v>
      </c>
      <c r="AK11" t="s">
        <v>170</v>
      </c>
      <c r="AL11" t="s">
        <v>170</v>
      </c>
      <c r="AM11" t="s">
        <v>170</v>
      </c>
      <c r="AN11" t="s">
        <v>170</v>
      </c>
      <c r="AO11" t="s">
        <v>170</v>
      </c>
      <c r="AP11" t="s">
        <v>170</v>
      </c>
      <c r="AQ11" t="s">
        <v>170</v>
      </c>
      <c r="AR11" t="s">
        <v>170</v>
      </c>
      <c r="AS11" t="s">
        <v>170</v>
      </c>
      <c r="AT11" t="s">
        <v>170</v>
      </c>
      <c r="AU11" t="s">
        <v>170</v>
      </c>
      <c r="AV11" t="s">
        <v>170</v>
      </c>
      <c r="AW11" t="s">
        <v>171</v>
      </c>
      <c r="AX11" t="s">
        <v>170</v>
      </c>
      <c r="AY11" t="s">
        <v>170</v>
      </c>
      <c r="AZ11" t="s">
        <v>170</v>
      </c>
      <c r="BA11" t="s">
        <v>170</v>
      </c>
      <c r="BB11" t="s">
        <v>170</v>
      </c>
      <c r="BC11" t="s">
        <v>170</v>
      </c>
      <c r="BD11" t="s">
        <v>172</v>
      </c>
      <c r="BE11" t="s">
        <v>170</v>
      </c>
      <c r="BF11" t="s">
        <v>170</v>
      </c>
      <c r="BG11" t="s">
        <v>170</v>
      </c>
      <c r="BH11" t="s">
        <v>173</v>
      </c>
      <c r="BI11" t="s">
        <v>170</v>
      </c>
      <c r="BJ11" t="s">
        <v>170</v>
      </c>
      <c r="BK11" t="s">
        <v>170</v>
      </c>
      <c r="BL11" t="s">
        <v>170</v>
      </c>
      <c r="BM11" t="s">
        <v>170</v>
      </c>
      <c r="BN11" t="s">
        <v>174</v>
      </c>
      <c r="BO11" t="s">
        <v>175</v>
      </c>
      <c r="BP11" t="s">
        <v>170</v>
      </c>
      <c r="BQ11" t="s">
        <v>170</v>
      </c>
      <c r="BR11" t="s">
        <v>170</v>
      </c>
      <c r="BS11" t="s">
        <v>170</v>
      </c>
      <c r="BU11"/>
      <c r="BV11" t="s">
        <v>176</v>
      </c>
      <c r="BY11" s="27" t="s">
        <v>177</v>
      </c>
      <c r="BZ11" t="s">
        <v>178</v>
      </c>
      <c r="CA11" t="s">
        <v>179</v>
      </c>
      <c r="CB11" s="27" t="s">
        <v>180</v>
      </c>
      <c r="CC11" t="s">
        <v>181</v>
      </c>
      <c r="CD11" t="s">
        <v>182</v>
      </c>
      <c r="CE11" t="s">
        <v>183</v>
      </c>
      <c r="CF11" t="s">
        <v>184</v>
      </c>
      <c r="CG11" t="s">
        <v>185</v>
      </c>
      <c r="CH11" t="s">
        <v>186</v>
      </c>
      <c r="CI11" t="s">
        <v>187</v>
      </c>
      <c r="CJ11" t="s">
        <v>188</v>
      </c>
      <c r="CK11">
        <v>20</v>
      </c>
      <c r="CL11">
        <v>50</v>
      </c>
      <c r="CM11" t="s">
        <v>181</v>
      </c>
      <c r="CN11">
        <v>50</v>
      </c>
      <c r="CO11" t="s">
        <v>189</v>
      </c>
      <c r="CP11" t="s">
        <v>190</v>
      </c>
      <c r="CQ11" t="s">
        <v>188</v>
      </c>
      <c r="CR11" t="s">
        <v>191</v>
      </c>
      <c r="CS11" t="s">
        <v>186</v>
      </c>
      <c r="CT11" t="s">
        <v>192</v>
      </c>
      <c r="CU11" t="s">
        <v>190</v>
      </c>
      <c r="CV11" t="s">
        <v>193</v>
      </c>
      <c r="CW11" t="s">
        <v>194</v>
      </c>
      <c r="CX11" t="s">
        <v>193</v>
      </c>
    </row>
    <row r="12" spans="2:102" x14ac:dyDescent="0.3">
      <c r="C12" s="15"/>
      <c r="D12" s="1" t="s">
        <v>270</v>
      </c>
      <c r="E12" s="27" t="s">
        <v>170</v>
      </c>
      <c r="N12" s="27" t="s">
        <v>195</v>
      </c>
      <c r="O12" t="s">
        <v>196</v>
      </c>
      <c r="P12" t="s">
        <v>197</v>
      </c>
      <c r="Q12" t="s">
        <v>198</v>
      </c>
      <c r="R12" t="s">
        <v>199</v>
      </c>
      <c r="S12" t="s">
        <v>200</v>
      </c>
      <c r="T12" t="s">
        <v>200</v>
      </c>
      <c r="U12" t="s">
        <v>201</v>
      </c>
      <c r="V12" t="s">
        <v>200</v>
      </c>
      <c r="W12" t="s">
        <v>200</v>
      </c>
      <c r="X12" t="s">
        <v>202</v>
      </c>
      <c r="Y12" t="s">
        <v>203</v>
      </c>
      <c r="Z12" t="s">
        <v>204</v>
      </c>
      <c r="AA12" t="s">
        <v>205</v>
      </c>
      <c r="AB12" t="s">
        <v>206</v>
      </c>
      <c r="AC12" t="s">
        <v>207</v>
      </c>
      <c r="AD12" t="s">
        <v>208</v>
      </c>
      <c r="AE12" t="s">
        <v>209</v>
      </c>
      <c r="AF12" t="s">
        <v>210</v>
      </c>
      <c r="AG12" t="s">
        <v>211</v>
      </c>
      <c r="AH12" t="s">
        <v>212</v>
      </c>
      <c r="AI12" t="s">
        <v>213</v>
      </c>
      <c r="AJ12" t="s">
        <v>214</v>
      </c>
      <c r="AK12" t="s">
        <v>215</v>
      </c>
      <c r="AL12" t="s">
        <v>216</v>
      </c>
      <c r="AM12" t="s">
        <v>170</v>
      </c>
      <c r="AN12" t="s">
        <v>217</v>
      </c>
      <c r="AO12" t="s">
        <v>170</v>
      </c>
      <c r="AP12" t="s">
        <v>170</v>
      </c>
      <c r="AQ12" t="s">
        <v>218</v>
      </c>
      <c r="AR12" t="s">
        <v>170</v>
      </c>
      <c r="AS12" t="s">
        <v>219</v>
      </c>
      <c r="AT12" t="s">
        <v>170</v>
      </c>
      <c r="AU12" t="s">
        <v>220</v>
      </c>
      <c r="AV12" t="s">
        <v>221</v>
      </c>
      <c r="AW12" t="s">
        <v>222</v>
      </c>
      <c r="AX12" t="s">
        <v>222</v>
      </c>
      <c r="AY12" t="s">
        <v>223</v>
      </c>
      <c r="AZ12" t="s">
        <v>170</v>
      </c>
      <c r="BA12" t="s">
        <v>170</v>
      </c>
      <c r="BB12" t="s">
        <v>170</v>
      </c>
      <c r="BC12" t="s">
        <v>170</v>
      </c>
      <c r="BD12" t="s">
        <v>170</v>
      </c>
      <c r="BE12" t="s">
        <v>170</v>
      </c>
      <c r="BF12" t="s">
        <v>224</v>
      </c>
      <c r="BG12" t="s">
        <v>225</v>
      </c>
      <c r="BH12" t="s">
        <v>226</v>
      </c>
      <c r="BI12" t="s">
        <v>227</v>
      </c>
      <c r="BJ12" t="s">
        <v>228</v>
      </c>
      <c r="BK12" t="s">
        <v>229</v>
      </c>
      <c r="BL12" t="s">
        <v>230</v>
      </c>
      <c r="BM12" t="s">
        <v>231</v>
      </c>
      <c r="BN12" t="s">
        <v>170</v>
      </c>
      <c r="BO12" t="s">
        <v>170</v>
      </c>
      <c r="BP12" t="s">
        <v>232</v>
      </c>
      <c r="BQ12" t="s">
        <v>233</v>
      </c>
      <c r="BR12" t="s">
        <v>234</v>
      </c>
      <c r="BS12" t="s">
        <v>170</v>
      </c>
      <c r="BU12"/>
      <c r="BV12" t="s">
        <v>170</v>
      </c>
      <c r="BY12" s="27" t="s">
        <v>170</v>
      </c>
      <c r="BZ12" t="s">
        <v>170</v>
      </c>
      <c r="CA12" t="s">
        <v>170</v>
      </c>
      <c r="CB12" s="29" t="s">
        <v>235</v>
      </c>
      <c r="CC12" t="s">
        <v>236</v>
      </c>
      <c r="CD12" t="s">
        <v>237</v>
      </c>
      <c r="CE12" t="s">
        <v>238</v>
      </c>
      <c r="CF12" t="s">
        <v>239</v>
      </c>
      <c r="CG12" t="s">
        <v>240</v>
      </c>
      <c r="CH12" t="s">
        <v>241</v>
      </c>
      <c r="CI12" t="s">
        <v>242</v>
      </c>
      <c r="CJ12" t="s">
        <v>243</v>
      </c>
      <c r="CK12" t="s">
        <v>244</v>
      </c>
      <c r="CL12" t="s">
        <v>245</v>
      </c>
      <c r="CM12" t="s">
        <v>246</v>
      </c>
      <c r="CN12" t="s">
        <v>247</v>
      </c>
      <c r="CO12" t="s">
        <v>248</v>
      </c>
      <c r="CP12" t="s">
        <v>249</v>
      </c>
      <c r="CQ12" t="s">
        <v>250</v>
      </c>
      <c r="CR12" t="s">
        <v>251</v>
      </c>
      <c r="CS12" t="s">
        <v>252</v>
      </c>
      <c r="CT12" t="s">
        <v>253</v>
      </c>
      <c r="CU12" t="s">
        <v>254</v>
      </c>
      <c r="CV12" t="s">
        <v>241</v>
      </c>
      <c r="CW12" t="s">
        <v>255</v>
      </c>
      <c r="CX12" t="s">
        <v>256</v>
      </c>
    </row>
    <row r="13" spans="2:102" x14ac:dyDescent="0.3">
      <c r="C13" s="15"/>
      <c r="D13" s="1" t="s">
        <v>257</v>
      </c>
      <c r="E13" s="27" t="s">
        <v>170</v>
      </c>
      <c r="N13" s="27" t="s">
        <v>258</v>
      </c>
      <c r="O13" t="s">
        <v>259</v>
      </c>
      <c r="P13" t="s">
        <v>260</v>
      </c>
      <c r="Q13" t="s">
        <v>170</v>
      </c>
      <c r="R13" t="s">
        <v>170</v>
      </c>
      <c r="S13" t="s">
        <v>170</v>
      </c>
      <c r="T13" t="s">
        <v>170</v>
      </c>
      <c r="U13" t="s">
        <v>170</v>
      </c>
      <c r="V13" t="s">
        <v>170</v>
      </c>
      <c r="W13" t="s">
        <v>170</v>
      </c>
      <c r="X13" t="s">
        <v>202</v>
      </c>
      <c r="Y13" t="s">
        <v>261</v>
      </c>
      <c r="Z13" t="s">
        <v>170</v>
      </c>
      <c r="AA13" t="s">
        <v>170</v>
      </c>
      <c r="AB13" t="s">
        <v>262</v>
      </c>
      <c r="AC13" t="s">
        <v>170</v>
      </c>
      <c r="AD13" t="s">
        <v>263</v>
      </c>
      <c r="AE13" t="s">
        <v>170</v>
      </c>
      <c r="AF13" t="s">
        <v>210</v>
      </c>
      <c r="AG13" t="s">
        <v>264</v>
      </c>
      <c r="AH13" t="s">
        <v>265</v>
      </c>
      <c r="AI13" t="s">
        <v>170</v>
      </c>
      <c r="AJ13" t="s">
        <v>170</v>
      </c>
      <c r="AK13" t="s">
        <v>170</v>
      </c>
      <c r="AL13" t="s">
        <v>170</v>
      </c>
      <c r="AM13" t="s">
        <v>170</v>
      </c>
      <c r="AN13" t="s">
        <v>170</v>
      </c>
      <c r="AO13" t="s">
        <v>170</v>
      </c>
      <c r="AP13" t="s">
        <v>170</v>
      </c>
      <c r="AQ13" t="s">
        <v>170</v>
      </c>
      <c r="AR13" t="s">
        <v>170</v>
      </c>
      <c r="AS13" t="s">
        <v>170</v>
      </c>
      <c r="AT13" t="s">
        <v>170</v>
      </c>
      <c r="AU13" t="s">
        <v>170</v>
      </c>
      <c r="AV13" t="s">
        <v>170</v>
      </c>
      <c r="AW13" t="s">
        <v>170</v>
      </c>
      <c r="AX13" t="s">
        <v>170</v>
      </c>
      <c r="AY13" t="s">
        <v>170</v>
      </c>
      <c r="AZ13" t="s">
        <v>170</v>
      </c>
      <c r="BA13" t="s">
        <v>170</v>
      </c>
      <c r="BB13" t="s">
        <v>170</v>
      </c>
      <c r="BC13" t="s">
        <v>170</v>
      </c>
      <c r="BD13" t="s">
        <v>170</v>
      </c>
      <c r="BE13" t="s">
        <v>170</v>
      </c>
      <c r="BF13" t="s">
        <v>224</v>
      </c>
      <c r="BG13" t="s">
        <v>266</v>
      </c>
      <c r="BH13" t="s">
        <v>267</v>
      </c>
      <c r="BI13" t="s">
        <v>170</v>
      </c>
      <c r="BJ13" t="s">
        <v>170</v>
      </c>
      <c r="BK13" t="s">
        <v>170</v>
      </c>
      <c r="BL13" t="s">
        <v>170</v>
      </c>
      <c r="BM13" t="s">
        <v>170</v>
      </c>
      <c r="BN13" t="s">
        <v>170</v>
      </c>
      <c r="BO13" t="s">
        <v>170</v>
      </c>
      <c r="BP13" t="s">
        <v>170</v>
      </c>
      <c r="BQ13" t="s">
        <v>170</v>
      </c>
      <c r="BR13" t="s">
        <v>170</v>
      </c>
      <c r="BS13" t="s">
        <v>170</v>
      </c>
      <c r="BU13"/>
      <c r="BV13" t="s">
        <v>170</v>
      </c>
      <c r="BY13" s="27" t="s">
        <v>170</v>
      </c>
      <c r="BZ13" t="s">
        <v>170</v>
      </c>
      <c r="CA13" t="s">
        <v>170</v>
      </c>
      <c r="CB13" s="27" t="s">
        <v>170</v>
      </c>
      <c r="CC13"/>
      <c r="CT13" t="s">
        <v>170</v>
      </c>
    </row>
    <row r="14" spans="2:102" s="1" customFormat="1" x14ac:dyDescent="0.3">
      <c r="C14" s="26"/>
      <c r="D14" s="1" t="s">
        <v>271</v>
      </c>
      <c r="E14" s="6">
        <v>100</v>
      </c>
      <c r="F14" s="8">
        <v>200</v>
      </c>
      <c r="G14" s="1">
        <v>120</v>
      </c>
      <c r="H14" s="1">
        <v>50</v>
      </c>
      <c r="I14" s="1">
        <v>40</v>
      </c>
      <c r="J14" s="1">
        <v>100</v>
      </c>
      <c r="K14" s="1">
        <v>20</v>
      </c>
      <c r="L14" s="1">
        <v>15</v>
      </c>
      <c r="M14" s="1">
        <v>40</v>
      </c>
      <c r="N14" s="6">
        <v>7</v>
      </c>
      <c r="O14" s="1">
        <v>2.5</v>
      </c>
      <c r="P14" s="1">
        <v>0.6</v>
      </c>
      <c r="Q14" s="1">
        <v>8</v>
      </c>
      <c r="R14" s="1">
        <v>20</v>
      </c>
      <c r="S14" s="1">
        <v>2</v>
      </c>
      <c r="T14" s="1">
        <v>2</v>
      </c>
      <c r="U14" s="1">
        <v>2</v>
      </c>
      <c r="V14" s="1">
        <v>2</v>
      </c>
      <c r="W14" s="1">
        <v>2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0.8</v>
      </c>
      <c r="AG14" s="1">
        <v>0.8</v>
      </c>
      <c r="AH14" s="1">
        <v>0.6</v>
      </c>
      <c r="AI14" s="1">
        <v>1.5</v>
      </c>
      <c r="AJ14" s="1">
        <v>1.5</v>
      </c>
      <c r="AK14" s="1">
        <v>1.5</v>
      </c>
      <c r="AL14" s="1">
        <v>2</v>
      </c>
      <c r="AM14" s="1">
        <v>2</v>
      </c>
      <c r="AN14" s="1">
        <v>4</v>
      </c>
      <c r="AO14" s="1">
        <v>1</v>
      </c>
      <c r="AP14" s="1">
        <v>1.5</v>
      </c>
      <c r="AQ14" s="1">
        <v>2</v>
      </c>
      <c r="AR14" s="1">
        <v>1.2</v>
      </c>
      <c r="AS14" s="1">
        <v>1.2</v>
      </c>
      <c r="AT14" s="1">
        <v>3</v>
      </c>
      <c r="AU14" s="1">
        <v>40</v>
      </c>
      <c r="AV14" s="1">
        <v>12</v>
      </c>
      <c r="AW14" s="1">
        <v>8</v>
      </c>
      <c r="AX14" s="1">
        <v>8</v>
      </c>
      <c r="AY14" s="1">
        <v>8</v>
      </c>
      <c r="AZ14" s="1">
        <v>2</v>
      </c>
      <c r="BA14" s="1">
        <v>4.5</v>
      </c>
      <c r="BB14" s="1">
        <v>1.5</v>
      </c>
      <c r="BC14" s="1">
        <v>5</v>
      </c>
      <c r="BD14" s="1">
        <v>1</v>
      </c>
      <c r="BE14" s="1">
        <v>0.2</v>
      </c>
      <c r="BF14" s="1">
        <v>1</v>
      </c>
      <c r="BG14" s="1">
        <v>3</v>
      </c>
      <c r="BH14" s="1">
        <v>1.5</v>
      </c>
      <c r="BI14" s="1">
        <v>3.5</v>
      </c>
      <c r="BJ14" s="1">
        <v>0.7</v>
      </c>
      <c r="BK14" s="1">
        <v>1</v>
      </c>
      <c r="BL14" s="1">
        <v>3</v>
      </c>
      <c r="BM14" s="1">
        <v>2.5</v>
      </c>
      <c r="BN14" s="1">
        <v>0.05</v>
      </c>
      <c r="BO14" s="1">
        <v>4</v>
      </c>
      <c r="BP14" s="1">
        <v>15</v>
      </c>
      <c r="BQ14" s="1">
        <v>0.15</v>
      </c>
      <c r="BR14" s="1">
        <v>2.5</v>
      </c>
      <c r="BS14" s="1">
        <v>0.15</v>
      </c>
      <c r="BT14" s="6">
        <v>0.6</v>
      </c>
      <c r="BU14" s="1">
        <v>1.1000000000000001</v>
      </c>
      <c r="BV14" s="1">
        <v>0.8</v>
      </c>
      <c r="BW14" s="1">
        <v>0.4</v>
      </c>
      <c r="BX14" s="1">
        <v>0.13</v>
      </c>
      <c r="BY14" s="6">
        <v>0.8</v>
      </c>
      <c r="BZ14" s="1">
        <v>0.17</v>
      </c>
      <c r="CA14" s="1">
        <v>0.3</v>
      </c>
      <c r="CB14" s="6">
        <v>0.04</v>
      </c>
      <c r="CT14" s="1">
        <v>0.03</v>
      </c>
    </row>
    <row r="15" spans="2:102" s="1" customFormat="1" x14ac:dyDescent="0.3">
      <c r="C15" s="26"/>
      <c r="E15" s="6"/>
      <c r="F15" s="8"/>
      <c r="N15" s="6"/>
      <c r="BT15" s="6"/>
      <c r="BY15" s="6"/>
      <c r="CB15" s="6"/>
    </row>
    <row r="16" spans="2:102" s="1" customFormat="1" x14ac:dyDescent="0.3">
      <c r="C16" s="26"/>
      <c r="D16" s="1" t="s">
        <v>276</v>
      </c>
      <c r="E16" s="6"/>
      <c r="F16" s="8"/>
      <c r="N16" s="6"/>
      <c r="BT16" s="6"/>
      <c r="BY16" s="6"/>
      <c r="CB16" s="6"/>
    </row>
    <row r="18" spans="2:3" x14ac:dyDescent="0.3">
      <c r="B18" s="1" t="s">
        <v>268</v>
      </c>
      <c r="C18" s="32" t="s">
        <v>74</v>
      </c>
    </row>
    <row r="19" spans="2:3" x14ac:dyDescent="0.3">
      <c r="C19" s="32" t="s">
        <v>75</v>
      </c>
    </row>
    <row r="20" spans="2:3" x14ac:dyDescent="0.3">
      <c r="C20" s="32" t="s">
        <v>76</v>
      </c>
    </row>
    <row r="21" spans="2:3" x14ac:dyDescent="0.3">
      <c r="C21" s="32" t="s">
        <v>77</v>
      </c>
    </row>
    <row r="22" spans="2:3" x14ac:dyDescent="0.3">
      <c r="C22" s="32" t="s">
        <v>78</v>
      </c>
    </row>
    <row r="23" spans="2:3" x14ac:dyDescent="0.3">
      <c r="C23" s="32" t="s">
        <v>79</v>
      </c>
    </row>
    <row r="24" spans="2:3" x14ac:dyDescent="0.3">
      <c r="C24" s="32" t="s">
        <v>80</v>
      </c>
    </row>
    <row r="25" spans="2:3" x14ac:dyDescent="0.3">
      <c r="C25" s="32" t="s">
        <v>81</v>
      </c>
    </row>
    <row r="26" spans="2:3" x14ac:dyDescent="0.3">
      <c r="C26" s="32" t="s">
        <v>82</v>
      </c>
    </row>
    <row r="27" spans="2:3" x14ac:dyDescent="0.3">
      <c r="B27" s="1" t="s">
        <v>269</v>
      </c>
      <c r="C27" s="22" t="s">
        <v>83</v>
      </c>
    </row>
    <row r="28" spans="2:3" x14ac:dyDescent="0.3">
      <c r="C28" s="22" t="s">
        <v>84</v>
      </c>
    </row>
    <row r="29" spans="2:3" x14ac:dyDescent="0.3">
      <c r="C29" s="22" t="s">
        <v>85</v>
      </c>
    </row>
    <row r="30" spans="2:3" x14ac:dyDescent="0.3">
      <c r="C30" s="22" t="s">
        <v>86</v>
      </c>
    </row>
    <row r="31" spans="2:3" x14ac:dyDescent="0.3">
      <c r="C31" s="22" t="s">
        <v>87</v>
      </c>
    </row>
    <row r="32" spans="2:3" x14ac:dyDescent="0.3">
      <c r="C32" s="22" t="s">
        <v>88</v>
      </c>
    </row>
    <row r="33" spans="3:3" x14ac:dyDescent="0.3">
      <c r="C33" s="22" t="s">
        <v>89</v>
      </c>
    </row>
    <row r="34" spans="3:3" x14ac:dyDescent="0.3">
      <c r="C34" s="22" t="s">
        <v>90</v>
      </c>
    </row>
    <row r="35" spans="3:3" x14ac:dyDescent="0.3">
      <c r="C35" s="22" t="s">
        <v>91</v>
      </c>
    </row>
    <row r="36" spans="3:3" x14ac:dyDescent="0.3">
      <c r="C36" s="22" t="s">
        <v>92</v>
      </c>
    </row>
    <row r="37" spans="3:3" x14ac:dyDescent="0.3">
      <c r="C37" s="22" t="s">
        <v>53</v>
      </c>
    </row>
    <row r="38" spans="3:3" x14ac:dyDescent="0.3">
      <c r="C38" s="22" t="s">
        <v>93</v>
      </c>
    </row>
    <row r="39" spans="3:3" x14ac:dyDescent="0.3">
      <c r="C39" s="22" t="s">
        <v>94</v>
      </c>
    </row>
    <row r="40" spans="3:3" x14ac:dyDescent="0.3">
      <c r="C40" s="22" t="s">
        <v>95</v>
      </c>
    </row>
    <row r="41" spans="3:3" x14ac:dyDescent="0.3">
      <c r="C41" s="22" t="s">
        <v>96</v>
      </c>
    </row>
    <row r="42" spans="3:3" x14ac:dyDescent="0.3">
      <c r="C42" s="22" t="s">
        <v>97</v>
      </c>
    </row>
    <row r="43" spans="3:3" x14ac:dyDescent="0.3">
      <c r="C43" s="22" t="s">
        <v>98</v>
      </c>
    </row>
    <row r="44" spans="3:3" x14ac:dyDescent="0.3">
      <c r="C44" s="22" t="s">
        <v>99</v>
      </c>
    </row>
    <row r="45" spans="3:3" x14ac:dyDescent="0.3">
      <c r="C45" s="22" t="s">
        <v>100</v>
      </c>
    </row>
    <row r="46" spans="3:3" x14ac:dyDescent="0.3">
      <c r="C46" s="22" t="s">
        <v>101</v>
      </c>
    </row>
    <row r="47" spans="3:3" x14ac:dyDescent="0.3">
      <c r="C47" s="22" t="s">
        <v>102</v>
      </c>
    </row>
    <row r="48" spans="3:3" x14ac:dyDescent="0.3">
      <c r="C48" s="22" t="s">
        <v>103</v>
      </c>
    </row>
    <row r="49" spans="3:3" x14ac:dyDescent="0.3">
      <c r="C49" s="22" t="s">
        <v>104</v>
      </c>
    </row>
    <row r="50" spans="3:3" x14ac:dyDescent="0.3">
      <c r="C50" s="22" t="s">
        <v>105</v>
      </c>
    </row>
    <row r="51" spans="3:3" x14ac:dyDescent="0.3">
      <c r="C51" s="22" t="s">
        <v>106</v>
      </c>
    </row>
    <row r="52" spans="3:3" x14ac:dyDescent="0.3">
      <c r="C52" s="22" t="s">
        <v>107</v>
      </c>
    </row>
    <row r="53" spans="3:3" x14ac:dyDescent="0.3">
      <c r="C53" s="22" t="s">
        <v>108</v>
      </c>
    </row>
    <row r="54" spans="3:3" x14ac:dyDescent="0.3">
      <c r="C54" s="22" t="s">
        <v>109</v>
      </c>
    </row>
    <row r="55" spans="3:3" x14ac:dyDescent="0.3">
      <c r="C55" s="22" t="s">
        <v>110</v>
      </c>
    </row>
    <row r="56" spans="3:3" x14ac:dyDescent="0.3">
      <c r="C56" s="22" t="s">
        <v>111</v>
      </c>
    </row>
    <row r="57" spans="3:3" x14ac:dyDescent="0.3">
      <c r="C57" s="22" t="s">
        <v>112</v>
      </c>
    </row>
    <row r="58" spans="3:3" x14ac:dyDescent="0.3">
      <c r="C58" s="22" t="s">
        <v>113</v>
      </c>
    </row>
    <row r="59" spans="3:3" x14ac:dyDescent="0.3">
      <c r="C59" s="22" t="s">
        <v>114</v>
      </c>
    </row>
    <row r="60" spans="3:3" x14ac:dyDescent="0.3">
      <c r="C60" s="22" t="s">
        <v>115</v>
      </c>
    </row>
    <row r="61" spans="3:3" x14ac:dyDescent="0.3">
      <c r="C61" s="22" t="s">
        <v>116</v>
      </c>
    </row>
    <row r="62" spans="3:3" x14ac:dyDescent="0.3">
      <c r="C62" s="22" t="s">
        <v>117</v>
      </c>
    </row>
    <row r="63" spans="3:3" x14ac:dyDescent="0.3">
      <c r="C63" s="22" t="s">
        <v>118</v>
      </c>
    </row>
    <row r="64" spans="3:3" x14ac:dyDescent="0.3">
      <c r="C64" s="22" t="s">
        <v>119</v>
      </c>
    </row>
    <row r="65" spans="3:3" x14ac:dyDescent="0.3">
      <c r="C65" s="22" t="s">
        <v>120</v>
      </c>
    </row>
    <row r="66" spans="3:3" x14ac:dyDescent="0.3">
      <c r="C66" s="22" t="s">
        <v>121</v>
      </c>
    </row>
    <row r="67" spans="3:3" x14ac:dyDescent="0.3">
      <c r="C67" s="22" t="s">
        <v>122</v>
      </c>
    </row>
    <row r="68" spans="3:3" x14ac:dyDescent="0.3">
      <c r="C68" s="22" t="s">
        <v>123</v>
      </c>
    </row>
    <row r="69" spans="3:3" x14ac:dyDescent="0.3">
      <c r="C69" s="22" t="s">
        <v>33</v>
      </c>
    </row>
    <row r="70" spans="3:3" x14ac:dyDescent="0.3">
      <c r="C70" s="22" t="s">
        <v>34</v>
      </c>
    </row>
    <row r="71" spans="3:3" x14ac:dyDescent="0.3">
      <c r="C71" s="22" t="s">
        <v>35</v>
      </c>
    </row>
    <row r="72" spans="3:3" x14ac:dyDescent="0.3">
      <c r="C72" s="22" t="s">
        <v>124</v>
      </c>
    </row>
    <row r="73" spans="3:3" x14ac:dyDescent="0.3">
      <c r="C73" s="22" t="s">
        <v>125</v>
      </c>
    </row>
    <row r="74" spans="3:3" x14ac:dyDescent="0.3">
      <c r="C74" s="22" t="s">
        <v>126</v>
      </c>
    </row>
    <row r="75" spans="3:3" x14ac:dyDescent="0.3">
      <c r="C75" s="22" t="s">
        <v>127</v>
      </c>
    </row>
    <row r="76" spans="3:3" x14ac:dyDescent="0.3">
      <c r="C76" s="22" t="s">
        <v>38</v>
      </c>
    </row>
    <row r="77" spans="3:3" x14ac:dyDescent="0.3">
      <c r="C77" s="22" t="s">
        <v>128</v>
      </c>
    </row>
    <row r="78" spans="3:3" x14ac:dyDescent="0.3">
      <c r="C78" s="22" t="s">
        <v>129</v>
      </c>
    </row>
    <row r="79" spans="3:3" x14ac:dyDescent="0.3">
      <c r="C79" s="22" t="s">
        <v>130</v>
      </c>
    </row>
    <row r="80" spans="3:3" x14ac:dyDescent="0.3">
      <c r="C80" s="22" t="s">
        <v>41</v>
      </c>
    </row>
    <row r="81" spans="2:3" x14ac:dyDescent="0.3">
      <c r="C81" s="22" t="s">
        <v>131</v>
      </c>
    </row>
    <row r="82" spans="2:3" x14ac:dyDescent="0.3">
      <c r="C82" s="22" t="s">
        <v>132</v>
      </c>
    </row>
    <row r="83" spans="2:3" x14ac:dyDescent="0.3">
      <c r="C83" s="22" t="s">
        <v>133</v>
      </c>
    </row>
    <row r="84" spans="2:3" x14ac:dyDescent="0.3">
      <c r="C84" s="22" t="s">
        <v>134</v>
      </c>
    </row>
    <row r="85" spans="2:3" x14ac:dyDescent="0.3">
      <c r="B85" s="8" t="s">
        <v>272</v>
      </c>
      <c r="C85" s="22" t="s">
        <v>135</v>
      </c>
    </row>
    <row r="86" spans="2:3" x14ac:dyDescent="0.3">
      <c r="C86" s="22" t="s">
        <v>136</v>
      </c>
    </row>
    <row r="87" spans="2:3" x14ac:dyDescent="0.3">
      <c r="C87" s="22" t="s">
        <v>137</v>
      </c>
    </row>
    <row r="88" spans="2:3" x14ac:dyDescent="0.3">
      <c r="C88" s="22" t="s">
        <v>138</v>
      </c>
    </row>
    <row r="89" spans="2:3" x14ac:dyDescent="0.3">
      <c r="C89" s="22" t="s">
        <v>139</v>
      </c>
    </row>
    <row r="90" spans="2:3" x14ac:dyDescent="0.3">
      <c r="B90" s="1" t="s">
        <v>26</v>
      </c>
      <c r="C90" s="22" t="s">
        <v>140</v>
      </c>
    </row>
    <row r="91" spans="2:3" x14ac:dyDescent="0.3">
      <c r="C91" s="22" t="s">
        <v>141</v>
      </c>
    </row>
    <row r="92" spans="2:3" x14ac:dyDescent="0.3">
      <c r="C92" s="22" t="s">
        <v>142</v>
      </c>
    </row>
    <row r="93" spans="2:3" x14ac:dyDescent="0.3">
      <c r="B93" s="1" t="s">
        <v>273</v>
      </c>
      <c r="C93" s="22" t="s">
        <v>143</v>
      </c>
    </row>
    <row r="94" spans="2:3" x14ac:dyDescent="0.3">
      <c r="C94" s="22" t="s">
        <v>144</v>
      </c>
    </row>
    <row r="95" spans="2:3" x14ac:dyDescent="0.3">
      <c r="C95" s="22" t="s">
        <v>145</v>
      </c>
    </row>
    <row r="96" spans="2:3" x14ac:dyDescent="0.3">
      <c r="C96" s="22" t="s">
        <v>146</v>
      </c>
    </row>
    <row r="97" spans="3:3" x14ac:dyDescent="0.3">
      <c r="C97" s="22" t="s">
        <v>147</v>
      </c>
    </row>
    <row r="98" spans="3:3" x14ac:dyDescent="0.3">
      <c r="C98" s="22" t="s">
        <v>148</v>
      </c>
    </row>
    <row r="99" spans="3:3" x14ac:dyDescent="0.3">
      <c r="C99" s="22" t="s">
        <v>149</v>
      </c>
    </row>
    <row r="100" spans="3:3" x14ac:dyDescent="0.3">
      <c r="C100" s="22" t="s">
        <v>150</v>
      </c>
    </row>
    <row r="101" spans="3:3" x14ac:dyDescent="0.3">
      <c r="C101" s="22" t="s">
        <v>151</v>
      </c>
    </row>
    <row r="102" spans="3:3" x14ac:dyDescent="0.3">
      <c r="C102" s="22" t="s">
        <v>152</v>
      </c>
    </row>
    <row r="103" spans="3:3" x14ac:dyDescent="0.3">
      <c r="C103" s="22" t="s">
        <v>153</v>
      </c>
    </row>
    <row r="104" spans="3:3" x14ac:dyDescent="0.3">
      <c r="C104" s="22" t="s">
        <v>154</v>
      </c>
    </row>
    <row r="105" spans="3:3" x14ac:dyDescent="0.3">
      <c r="C105" s="22" t="s">
        <v>155</v>
      </c>
    </row>
    <row r="106" spans="3:3" x14ac:dyDescent="0.3">
      <c r="C106" s="22" t="s">
        <v>156</v>
      </c>
    </row>
    <row r="107" spans="3:3" x14ac:dyDescent="0.3">
      <c r="C107" s="22" t="s">
        <v>157</v>
      </c>
    </row>
    <row r="108" spans="3:3" x14ac:dyDescent="0.3">
      <c r="C108" s="22" t="s">
        <v>158</v>
      </c>
    </row>
    <row r="109" spans="3:3" x14ac:dyDescent="0.3">
      <c r="C109" s="22" t="s">
        <v>159</v>
      </c>
    </row>
    <row r="110" spans="3:3" x14ac:dyDescent="0.3">
      <c r="C110" s="22" t="s">
        <v>160</v>
      </c>
    </row>
    <row r="111" spans="3:3" x14ac:dyDescent="0.3">
      <c r="C111" s="22" t="s">
        <v>161</v>
      </c>
    </row>
    <row r="112" spans="3:3" x14ac:dyDescent="0.3">
      <c r="C112" s="22" t="s">
        <v>162</v>
      </c>
    </row>
    <row r="113" spans="3:3" x14ac:dyDescent="0.3">
      <c r="C113" s="22" t="s">
        <v>163</v>
      </c>
    </row>
    <row r="114" spans="3:3" x14ac:dyDescent="0.3">
      <c r="C114" s="22" t="s">
        <v>164</v>
      </c>
    </row>
    <row r="115" spans="3:3" x14ac:dyDescent="0.3">
      <c r="C115" s="22" t="s">
        <v>165</v>
      </c>
    </row>
  </sheetData>
  <conditionalFormatting sqref="CJ11 CC11:CH12 E11:BS13 BU11:BV13 BY11:CB13 CI12:CS12">
    <cfRule type="cellIs" dxfId="3" priority="3" operator="equal">
      <formula>"NA"</formula>
    </cfRule>
    <cfRule type="cellIs" dxfId="2" priority="4" operator="equal">
      <formula>0</formula>
    </cfRule>
  </conditionalFormatting>
  <conditionalFormatting sqref="CU11:CX12 CT11:CT13">
    <cfRule type="cellIs" dxfId="1" priority="1" operator="equal">
      <formula>"NA"</formula>
    </cfRule>
    <cfRule type="cellIs" dxfId="0" priority="2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8810-D1B7-46C4-B036-99E2FF1E67A6}">
  <dimension ref="A2:C23"/>
  <sheetViews>
    <sheetView workbookViewId="0">
      <selection activeCell="D12" sqref="D12"/>
    </sheetView>
  </sheetViews>
  <sheetFormatPr defaultRowHeight="14.4" x14ac:dyDescent="0.3"/>
  <cols>
    <col min="1" max="1" width="8.88671875" style="1"/>
    <col min="2" max="2" width="12.21875" customWidth="1"/>
    <col min="3" max="3" width="72.5546875" customWidth="1"/>
  </cols>
  <sheetData>
    <row r="2" spans="1:3" s="1" customFormat="1" x14ac:dyDescent="0.3">
      <c r="B2" s="1" t="s">
        <v>277</v>
      </c>
      <c r="C2" s="1" t="s">
        <v>278</v>
      </c>
    </row>
    <row r="3" spans="1:3" x14ac:dyDescent="0.3">
      <c r="A3" s="1" t="s">
        <v>273</v>
      </c>
      <c r="B3" t="s">
        <v>279</v>
      </c>
      <c r="C3" t="s">
        <v>280</v>
      </c>
    </row>
    <row r="4" spans="1:3" x14ac:dyDescent="0.3">
      <c r="B4" t="s">
        <v>281</v>
      </c>
    </row>
    <row r="9" spans="1:3" x14ac:dyDescent="0.3">
      <c r="A9" s="1" t="s">
        <v>272</v>
      </c>
    </row>
    <row r="15" spans="1:3" x14ac:dyDescent="0.3">
      <c r="A15" s="1" t="s">
        <v>26</v>
      </c>
    </row>
    <row r="23" spans="1:1" x14ac:dyDescent="0.3">
      <c r="A23" s="1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Atlantic M</vt:lpstr>
      <vt:lpstr>Atlantic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Juliane Entzian</dc:creator>
  <cp:lastModifiedBy>Juliane Entzian</cp:lastModifiedBy>
  <dcterms:created xsi:type="dcterms:W3CDTF">2025-12-08T12:23:11Z</dcterms:created>
  <dcterms:modified xsi:type="dcterms:W3CDTF">2025-12-16T07:14:41Z</dcterms:modified>
</cp:coreProperties>
</file>
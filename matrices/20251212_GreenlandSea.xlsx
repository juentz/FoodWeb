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F4E89BEE-2A02-4365-8964-9562F058E54E}" xr6:coauthVersionLast="47" xr6:coauthVersionMax="47" xr10:uidLastSave="{00000000-0000-0000-0000-000000000000}"/>
  <bookViews>
    <workbookView xWindow="0" yWindow="768" windowWidth="23232" windowHeight="11676" xr2:uid="{A4BD88ED-9CD0-4539-BCFD-D4767D3BB142}"/>
  </bookViews>
  <sheets>
    <sheet name="PredPreyMatrixArctic" sheetId="1" r:id="rId1"/>
    <sheet name="Lit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I18" i="1" s="1"/>
  <c r="J17" i="1"/>
  <c r="J18" i="1" s="1"/>
  <c r="K17" i="1"/>
  <c r="K18" i="1" s="1"/>
  <c r="L17" i="1"/>
  <c r="L18" i="1" s="1"/>
  <c r="M17" i="1"/>
  <c r="M18" i="1" s="1"/>
  <c r="N17" i="1"/>
  <c r="N18" i="1" s="1"/>
  <c r="O17" i="1"/>
  <c r="O18" i="1" s="1"/>
  <c r="AH12" i="1"/>
  <c r="AH18" i="1" s="1"/>
  <c r="AD18" i="1"/>
  <c r="AS12" i="1"/>
  <c r="AS18" i="1" s="1"/>
  <c r="AT12" i="1"/>
  <c r="AT18" i="1" s="1"/>
  <c r="AU12" i="1"/>
  <c r="AU18" i="1" s="1"/>
  <c r="AV12" i="1"/>
  <c r="AV18" i="1" s="1"/>
  <c r="AW12" i="1"/>
  <c r="AW18" i="1" s="1"/>
  <c r="AX12" i="1"/>
  <c r="AR12" i="1"/>
  <c r="AR18" i="1" s="1"/>
  <c r="AX18" i="1"/>
  <c r="AX14" i="1"/>
  <c r="AW14" i="1"/>
  <c r="AV14" i="1"/>
  <c r="AU14" i="1"/>
  <c r="AT14" i="1"/>
  <c r="AS14" i="1"/>
  <c r="AC17" i="1"/>
  <c r="AC18" i="1" s="1"/>
  <c r="AE17" i="1"/>
  <c r="AE18" i="1" s="1"/>
  <c r="AF17" i="1"/>
  <c r="AG17" i="1"/>
  <c r="AH17" i="1"/>
  <c r="AI17" i="1"/>
  <c r="AI18" i="1" s="1"/>
  <c r="AK17" i="1"/>
  <c r="AK18" i="1" s="1"/>
  <c r="AL17" i="1"/>
  <c r="AL18" i="1" s="1"/>
  <c r="AM17" i="1"/>
  <c r="AM18" i="1" s="1"/>
  <c r="AN17" i="1"/>
  <c r="AO17" i="1"/>
  <c r="AO18" i="1" s="1"/>
  <c r="AP17" i="1"/>
  <c r="AP18" i="1" s="1"/>
  <c r="AQ17" i="1"/>
  <c r="AQ18" i="1" s="1"/>
  <c r="W17" i="1"/>
  <c r="W18" i="1" s="1"/>
  <c r="X17" i="1"/>
  <c r="X18" i="1" s="1"/>
  <c r="Y17" i="1"/>
  <c r="Y18" i="1" s="1"/>
  <c r="Z17" i="1"/>
  <c r="Z18" i="1" s="1"/>
  <c r="AA17" i="1"/>
  <c r="AA18" i="1" s="1"/>
  <c r="AB17" i="1"/>
  <c r="Q17" i="1"/>
  <c r="Q18" i="1" s="1"/>
  <c r="S17" i="1"/>
  <c r="S18" i="1" s="1"/>
  <c r="T17" i="1"/>
  <c r="T18" i="1" s="1"/>
  <c r="U17" i="1"/>
  <c r="U18" i="1" s="1"/>
  <c r="V17" i="1"/>
  <c r="V18" i="1" s="1"/>
  <c r="AJ16" i="1"/>
  <c r="AJ17" i="1" s="1"/>
  <c r="AJ18" i="1" s="1"/>
  <c r="R16" i="1"/>
  <c r="R17" i="1" s="1"/>
  <c r="R18" i="1" s="1"/>
  <c r="P16" i="1"/>
  <c r="P17" i="1" s="1"/>
  <c r="P18" i="1" s="1"/>
  <c r="AB18" i="1"/>
  <c r="AF18" i="1"/>
  <c r="AG18" i="1"/>
  <c r="AN18" i="1"/>
  <c r="AY18" i="1"/>
  <c r="AZ18" i="1"/>
  <c r="BA18" i="1"/>
  <c r="BB18" i="1"/>
  <c r="BC18" i="1"/>
  <c r="BD18" i="1"/>
  <c r="BE18" i="1"/>
  <c r="BF18" i="1"/>
  <c r="BG18" i="1"/>
  <c r="BH18" i="1"/>
  <c r="BI18" i="1"/>
</calcChain>
</file>

<file path=xl/sharedStrings.xml><?xml version="1.0" encoding="utf-8"?>
<sst xmlns="http://schemas.openxmlformats.org/spreadsheetml/2006/main" count="486" uniqueCount="243">
  <si>
    <t>Calanus finmarchicus</t>
  </si>
  <si>
    <t>Calanus glacialis</t>
  </si>
  <si>
    <t>Calanus hyperboreus</t>
  </si>
  <si>
    <t>Pseudocalanus minutus</t>
  </si>
  <si>
    <t>Microcalanus pygmaeus</t>
  </si>
  <si>
    <t xml:space="preserve">Spinocalanus spp. </t>
  </si>
  <si>
    <t>Metridia longa</t>
  </si>
  <si>
    <t>Oncaea sp.</t>
  </si>
  <si>
    <t>Ostracoda</t>
  </si>
  <si>
    <t>Amphipoda</t>
  </si>
  <si>
    <t>Themisto abyssorum</t>
  </si>
  <si>
    <t>Themisto libellula</t>
  </si>
  <si>
    <t>Hymenodora glacialis</t>
  </si>
  <si>
    <t>Clione limacina</t>
  </si>
  <si>
    <t>Chaetognatha</t>
  </si>
  <si>
    <t>Taxa</t>
  </si>
  <si>
    <t>AphiaID</t>
  </si>
  <si>
    <t>Appendicularien (here: Appendicularia)</t>
  </si>
  <si>
    <t>Prey</t>
  </si>
  <si>
    <t>Predator</t>
  </si>
  <si>
    <t>Detritus</t>
  </si>
  <si>
    <t>Boreogadus saida</t>
  </si>
  <si>
    <t>Balaena mysticetus</t>
  </si>
  <si>
    <t>Pusa hispida</t>
  </si>
  <si>
    <t>Ursus maritimus</t>
  </si>
  <si>
    <t>Alle alle</t>
  </si>
  <si>
    <t>Uria lomvia</t>
  </si>
  <si>
    <t>Cepphus grylle</t>
  </si>
  <si>
    <t>https://doi.org/10.1007/s00227-001-0775-4</t>
  </si>
  <si>
    <r>
      <t>Auel, .H., Hagen, .W. Mesozooplankton community structure, abundance and biomass in the central Arctic Ocean. </t>
    </r>
    <r>
      <rPr>
        <i/>
        <sz val="11"/>
        <color rgb="FF222222"/>
        <rFont val="Calibri"/>
        <family val="2"/>
        <scheme val="minor"/>
      </rPr>
      <t>Marine Biology</t>
    </r>
    <r>
      <rPr>
        <sz val="11"/>
        <color rgb="FF222222"/>
        <rFont val="Calibri"/>
        <family val="2"/>
        <scheme val="minor"/>
      </rPr>
      <t> </t>
    </r>
    <r>
      <rPr>
        <b/>
        <sz val="11"/>
        <color rgb="FF222222"/>
        <rFont val="Calibri"/>
        <family val="2"/>
        <scheme val="minor"/>
      </rPr>
      <t>140</t>
    </r>
    <r>
      <rPr>
        <sz val="11"/>
        <color rgb="FF222222"/>
        <rFont val="Calibri"/>
        <family val="2"/>
        <scheme val="minor"/>
      </rPr>
      <t>, 1013–1021 (2002)</t>
    </r>
  </si>
  <si>
    <t xml:space="preserve">Limacina spp. </t>
  </si>
  <si>
    <t>Holling Type</t>
  </si>
  <si>
    <t>?</t>
  </si>
  <si>
    <t>Specialisation (1 = specialist; 0 = ne specialist)</t>
  </si>
  <si>
    <t>Primary Producer (1 = yes; 0 = no)</t>
  </si>
  <si>
    <t>NA</t>
  </si>
  <si>
    <t>High level taxa</t>
  </si>
  <si>
    <t>Copepoda</t>
  </si>
  <si>
    <t>Euphausiacea</t>
  </si>
  <si>
    <t>Decapoda</t>
  </si>
  <si>
    <t>Gastropoda</t>
  </si>
  <si>
    <t>Appendicularia</t>
  </si>
  <si>
    <t>Hydrozoa</t>
  </si>
  <si>
    <t>Cetacea</t>
  </si>
  <si>
    <t>Teleostei</t>
  </si>
  <si>
    <t>Ursidae</t>
  </si>
  <si>
    <t>Aves</t>
  </si>
  <si>
    <t>Auel, Holger. "The ecology of Arctic deep-sea copepods (Euchaetidae and Aetideidae): aspects of their distribution, trophodynamics and effect on the carbon flux." Berichte zur Polarforschung (Reports on Polar Research) 319 (1999).</t>
  </si>
  <si>
    <t>https://epic.awi.de/id/eprint/26498/1/BerPolarforsch1999319.pdf</t>
  </si>
  <si>
    <t>0.0069 µg O2 d-1 (female) (Auel 1999)</t>
  </si>
  <si>
    <t>3 years (Auel &amp; Werner 2003)</t>
  </si>
  <si>
    <t xml:space="preserve">24.4 ± 8.5 nmol O2 h-1 mg-1 DM (female) (Kaiser et al. 2022) </t>
  </si>
  <si>
    <t xml:space="preserve">14.9 ± 7.3 nmol O2 h-1 mg-1 DM (female) (Kaiser et al. 2022) </t>
  </si>
  <si>
    <t xml:space="preserve">12.4 ± 7.5 nmol O2 h-1 mg-1 DM (female) (Kaiser et al. 2022) </t>
  </si>
  <si>
    <r>
      <t xml:space="preserve">12.1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4.1 [ml O2 day-1 (g DM)-1 (Auel &amp; Werner 2003); 1.07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0.36 Respiration as daily turn-over (% day-1) (Auel &amp; Werner 2003);  28.4 ± 13.5 nmol O2 h-1 mg-1 DM (Kaiser et al. 2022) </t>
    </r>
  </si>
  <si>
    <t xml:space="preserve">20.4 ± 14.2 nmol O2 h-1 mg-1 DM (Kaiser et al. 2022) </t>
  </si>
  <si>
    <t xml:space="preserve">3.92 ± 1.44 Dry mass [mg] (female) (Kaiser et al. 2022) </t>
  </si>
  <si>
    <t xml:space="preserve">1.50 ± 0.61 Dry mass [mg] (female) (Kaiser et al. 2022) </t>
  </si>
  <si>
    <t xml:space="preserve">0.44 ± 0.13 Dry mass [mg] (female) (Kaiser et al. 2022) </t>
  </si>
  <si>
    <t xml:space="preserve">10 - 51 mg DM (Auel &amp; Werner 2003); 8.51 ± 8.89 Dry mass [mg] (Kaiser et al. 2022) </t>
  </si>
  <si>
    <t xml:space="preserve">4.24 ± 5.15 Dry mass [mg] (Kaiser et al. 2022) </t>
  </si>
  <si>
    <t>Kosobokova, K. N., H-J. Hirche, and R. R. Hopcroft. "Reproductive biology of deep-water calanoid copepods from the Arctic Ocean." Marine biology 151.3 (2007): 919-934</t>
  </si>
  <si>
    <t>https://doi.org/10.1007/s00227-006-0528-5</t>
  </si>
  <si>
    <r>
      <t xml:space="preserve">0.137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0.037 mg DW (CVI male); 0.287 ± 0.045 mg DW (CVI female) (Richter 1994)</t>
    </r>
  </si>
  <si>
    <r>
      <t xml:space="preserve">15 µg DM (female) (Hirche &amp; Kosobokowa 2003); 12 µg DM (male) (Hirche &amp; Kosobokowa 2003); 0.023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0.009</t>
    </r>
    <r>
      <rPr>
        <sz val="11"/>
        <color theme="1"/>
        <rFont val="Calibri"/>
        <family val="2"/>
        <scheme val="minor"/>
      </rPr>
      <t xml:space="preserve"> mg DM (Richter 1994)</t>
    </r>
  </si>
  <si>
    <t>0.007 ± 0.004 mg DM (for Microcalanus spp., Richter 1994)</t>
  </si>
  <si>
    <t>0.013 ± 0.004 mg DM (for Spinocalanus spp., Richter 1994)</t>
  </si>
  <si>
    <t>0.003 ± 0.000 mg DM (for Oithona spp., Richter 1994)</t>
  </si>
  <si>
    <t>0.002 ± 0.000 mg DM (Richter 1994)</t>
  </si>
  <si>
    <r>
      <t xml:space="preserve">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 mg DM (Richter 1994)</t>
    </r>
  </si>
  <si>
    <t>41 ± 32 mg DM (Richter 1994)</t>
  </si>
  <si>
    <t>0.343 mg DM (Richter 1994)</t>
  </si>
  <si>
    <t>0.2 mg DM (for Oikopleura vanhoeffeni, Richter 1994)</t>
  </si>
  <si>
    <t>17 days - 4 years (Cohen &amp; Morin 1990); 6 years (Cronin et al. 2010)</t>
  </si>
  <si>
    <t>32.3 ± 22.1 mg DM (Böer et al. 2005)</t>
  </si>
  <si>
    <t>Mid-level Taxa</t>
  </si>
  <si>
    <t>Clausocalanidae</t>
  </si>
  <si>
    <t>Spinocalanidae</t>
  </si>
  <si>
    <t>Euchaetidae</t>
  </si>
  <si>
    <t>Scolecitrichidae</t>
  </si>
  <si>
    <t>Metridinidae</t>
  </si>
  <si>
    <t>Oithonidae</t>
  </si>
  <si>
    <t>Oncaeidae</t>
  </si>
  <si>
    <t>Hyperiidae</t>
  </si>
  <si>
    <t>Euphausiidae</t>
  </si>
  <si>
    <t>Acanthephyridae</t>
  </si>
  <si>
    <t>Pteropoda</t>
  </si>
  <si>
    <t>700 days (for Parasagitta elegans, Welch et al. 1996), 3 years (for Parasagitta elegans, Grigor et al. 2014), 2 years (for Eukrohnia hamata, Grigor et al. 2017)</t>
  </si>
  <si>
    <t>exceeds 100 years (George 2009)</t>
  </si>
  <si>
    <t>43 years (Ferguson et al. 2017), 20 years (Usher &amp; Church 1969)</t>
  </si>
  <si>
    <t>&gt;20 years (Hovinen 2014)</t>
  </si>
  <si>
    <t>25 years (https://animaldiversity.org/accounts/Uria_lomvia/)</t>
  </si>
  <si>
    <t>10 years (Ewins 1986)</t>
  </si>
  <si>
    <t>Bacteria</t>
  </si>
  <si>
    <t>Synechococcus</t>
  </si>
  <si>
    <t>Picophytoplankton</t>
  </si>
  <si>
    <t>Autotrophic nanoplankton</t>
  </si>
  <si>
    <t>Mixotrophic nanoplankton</t>
  </si>
  <si>
    <t>Heterotrophic nanoplankton</t>
  </si>
  <si>
    <t>Autotrophic microplankton</t>
  </si>
  <si>
    <t>Mixotrophic microplankton</t>
  </si>
  <si>
    <t>Heterotrophic microplankton</t>
  </si>
  <si>
    <t>Mallotus villosus</t>
  </si>
  <si>
    <t>Cyanobakterien</t>
  </si>
  <si>
    <t>Melanogrammus aeglefinus</t>
  </si>
  <si>
    <t>Gadus morhua</t>
  </si>
  <si>
    <t>Reinhardtius hippoglossoides</t>
  </si>
  <si>
    <t>alpha</t>
  </si>
  <si>
    <t>Balaenoptera musculus</t>
  </si>
  <si>
    <t>Orcinus orca</t>
  </si>
  <si>
    <t>Pagophilus groenlandicus</t>
  </si>
  <si>
    <t>70 to 90</t>
  </si>
  <si>
    <t>25 to 40</t>
  </si>
  <si>
    <t>20 to 30</t>
  </si>
  <si>
    <t>Phocidae</t>
  </si>
  <si>
    <t>75000 kg</t>
  </si>
  <si>
    <t>130000 kg</t>
  </si>
  <si>
    <t>3000 kg</t>
  </si>
  <si>
    <t>130 kg</t>
  </si>
  <si>
    <t>75 kg</t>
  </si>
  <si>
    <t>400 kg</t>
  </si>
  <si>
    <t>Grönlandwal</t>
  </si>
  <si>
    <t>Blauwal</t>
  </si>
  <si>
    <t>Orca</t>
  </si>
  <si>
    <t>Sattelrobbe</t>
  </si>
  <si>
    <t>Ringelrobbe</t>
  </si>
  <si>
    <t>Eisbär</t>
  </si>
  <si>
    <t>Krabbentaucher</t>
  </si>
  <si>
    <t>Dickschnabellumme</t>
  </si>
  <si>
    <t>Gryllteiste</t>
  </si>
  <si>
    <t>Schwarzer Heilbutt</t>
  </si>
  <si>
    <t>Atlantischer Kabeljau</t>
  </si>
  <si>
    <t>Polardorsch</t>
  </si>
  <si>
    <t>Lodde</t>
  </si>
  <si>
    <t>Schellfisch</t>
  </si>
  <si>
    <t>Thysanoessa spp.</t>
  </si>
  <si>
    <t>Meganyctiphanes norvegica</t>
  </si>
  <si>
    <t>Aetideidae (Aetideopsis sp., Chiridius sp.)</t>
  </si>
  <si>
    <t>Calanidae</t>
  </si>
  <si>
    <t>Aetideidae (detritivorous-omnivorous)</t>
  </si>
  <si>
    <r>
      <t xml:space="preserve">Aetideopsis rostrata: 0.62 (male); 0.60 </t>
    </r>
    <r>
      <rPr>
        <sz val="11"/>
        <color theme="1"/>
        <rFont val="Calibri"/>
        <family val="2"/>
      </rPr>
      <t>± 0.02 (female)</t>
    </r>
    <r>
      <rPr>
        <sz val="11"/>
        <color theme="1"/>
        <rFont val="Calibri"/>
        <family val="2"/>
        <scheme val="minor"/>
      </rPr>
      <t xml:space="preserve"> (Auel 1999);  0.55 ± 0.13 mg DW (female) (Kosobokowa et al. 2007); 402.58 ± 38.59 µg DW (CVIF); 481.75 ± 88.66 µg DW (CVIM) (Koguchi et al. 2023); Aetideopsis multiserrata: 273.77 ± 93.21 µg DW (CVIF); 109.67 ± 13.39 µg DW (CVIM) (Koguchi et al. 2023); Chiridius obtusifrons: 0.26 mg (male); 0.64 ± 0.08 mg (female) (Auel 1999); 0.81 ± 0.12 mg DW (female) (Kosobokowa et al. 2007); 514.48 ± 60.26 µg DW (CVIF); 177.28 ± 12.11 µg DW (CVIM) (Koguchi et al. 2023)</t>
    </r>
  </si>
  <si>
    <t>Aetideidae (carnivorous-omnivorous)</t>
  </si>
  <si>
    <t>Aetideidae (Gaidius brevispinus (now: Gaetanus brevispinus), Gaidius tenuispinus (now: Gaetanus tenuispinus), Pseudochirella elongata (now: Pseudochirella spectabilis), Chiridiella sp.)</t>
  </si>
  <si>
    <t>Gaidius brevispinus (now: Gaetanus brevispinus): 0.0079 µg O2 d-1 (CV) (Auel 1999); Pseudochirella elongata (now: Pseudochirella spectabilis): 0.0018 µg O2 d-1 (female) (Auel 1999);</t>
  </si>
  <si>
    <r>
      <t xml:space="preserve">Gaidius brevispinus (now: Gaetanus brevispinus): 0.61 (male); 0.91 </t>
    </r>
    <r>
      <rPr>
        <sz val="11"/>
        <color theme="1"/>
        <rFont val="Calibri"/>
        <family val="2"/>
      </rPr>
      <t>± 0.11 (female)</t>
    </r>
    <r>
      <rPr>
        <sz val="11"/>
        <color theme="1"/>
        <rFont val="Calibri"/>
        <family val="2"/>
        <scheme val="minor"/>
      </rPr>
      <t xml:space="preserve"> (Auel 1999);  0.94 ± 0.21 mg DW (female) (Kosobokowa et al. 2007); 557.75 ± 39.01 µg DW (CVIF); 345.35 ± 54.89 µg DW (CVIM) (Koguchi et al. 2023); Gaidius tenuispinus (now: Gaetanus tenuispinus): 0.23 (male); 0.50 ± 0.04 (female) (Auel 1999); 0.51 ± 0.14 mg DW (female) (Kosobokowa et al. 2007); 376.40 ± 57.24 µg DW (CVIF); 209.45 ± 34.92 µg DW (CVIM) (Koguchi et al. 2023); Pseudochirella elongata (now: Pseudochirella spectabilis): 3.88 (female) (Auel 1999); Chiridiella sp.: 0.31 (female of C. abyssalis) (Auel 1999)</t>
    </r>
  </si>
  <si>
    <t>Euchaetidae (Euchaeta glacialis (now: Paraeuchaeta glacialis); Euchaeta barbata (now: Paraeuchaeta barbata barbata))</t>
  </si>
  <si>
    <t>Euchaeta glacialis (now: Paraeuchaeta glacialis): 0.0018 µg O2 d-1 (female) (Auel 1999); 13.0 ± 4.1 nmol O2 h-1 mg-1 DM (female) (Kaiser et al. 2022); Euchaeta barbata (now: Paraeuchaeta barbata barbata): 0.0010 µg O2 d-1 (female) (Auel 1999)</t>
  </si>
  <si>
    <t>Euchaeta glacialis (now: Paraeuchaeta glacialis): 1.48 ± 0.34 (male); 4.90 ± 1.76 (female) (Auel 1999); 6.96 ± 1.62 Dry mass [mg] (female) (Kaiser et al. 2022); 7.96 ± 0.27 mg DW (female) (Kosobokowa et al. 2007); 4965 ± 920 µg DM (CVIF); 2393 ± 391 µg DM (CVIM) (Yamaguchi et al. 2022); Euchaeta barbata (now: Paraeuchaeta barbata barbata): 4.02 ± 0.49 (male); 9.22 ± 1.49 (female) (Auel 1999)</t>
  </si>
  <si>
    <t>Scolecitrichidae (Scaphocalanus magnus, Scaphocalanus brevicornis, Scolecithricella minor (now: Scolecithricella minor minor))</t>
  </si>
  <si>
    <t>Scaphocalanus magnus: 771.5 ± 78.2 µg DM (C6F); 690.5 ± 30.2 (C6M) (Yamaguchi et al. 2020); Scolecithricella minor (now: Scolecithricella minor minor): 0.024 ± 0.004 mg DW (Richter 1994)</t>
  </si>
  <si>
    <t>Deep-sea copepods (Lucicutiidae, Heterorhabdidae, Augaptilidae)</t>
  </si>
  <si>
    <t>Heterorhabdus norvegicus: 0.43 ± 0.12 mg DW (female) (Kosobokowa et al. 2007); 340.2 ± 48.9 µg DM (CVIF); 297.2 ± 33.7 µg DM (CVIM) (Yamaguchi et al. 2022); Augaptilus glacialis: 0.20 mg C (female) (Kosobokowa et al. 2007)</t>
  </si>
  <si>
    <t>Oithonidae (Oithona atlantica, Oithona similis)</t>
  </si>
  <si>
    <t>Oithona atlantica: 1 year (Kosobokowa et al. 2010)</t>
  </si>
  <si>
    <t>under-ice amphipods herbivorous (Apherusa sp. / Onisimus sp.)</t>
  </si>
  <si>
    <t>under-ice amphipods herbivorous (Calliopiidae / Uristidae)</t>
  </si>
  <si>
    <t xml:space="preserve">101509 / 101631  </t>
  </si>
  <si>
    <t>Gammarus wilkitzkii</t>
  </si>
  <si>
    <t>under-ice amphipods carnivorous (Gammaridae)</t>
  </si>
  <si>
    <t>under-ice amphipods carnivorous (Gammarus wilkitzkii)</t>
  </si>
  <si>
    <t xml:space="preserve">Euphausiidae </t>
  </si>
  <si>
    <t>Siphonophora (now: Siphonophorae): 0.8 mg DM (for Crystallophyes amygdalina, Richter 1994); 0.8 mg DM (for Dimophyes arctica, Richter 1994); 0.8 mg DM (for Muggiaea bargmannae, Richter 1994); 1.9 ± 1.0 mg DM (for Aegina citrea, Richter 1994); 2.9 ± 1.2 mg DM (for Aglantha digitale, Richter 1994);</t>
  </si>
  <si>
    <t>Hydrozoa (Siphonophora (now: Siphonophorae); Medusen (here: Hydrozoa); Solmundella bitentaculata)</t>
  </si>
  <si>
    <t>Ctenophora</t>
  </si>
  <si>
    <t>German trivial name</t>
  </si>
  <si>
    <t>Taxa/group name for products</t>
  </si>
  <si>
    <t>Mysticeti</t>
  </si>
  <si>
    <t>Mysticeti (Balaenoptera acutorostrata, Balaenoptera borealis, Balaenoptera physalus, Megaptera novaeangliae)</t>
  </si>
  <si>
    <t>Bartenwale (Zwergwal, Seiwal, Finwal, Buckelwal)</t>
  </si>
  <si>
    <t>40 to 50 / 50 to 60 / 80 to 90 / 40 to 50</t>
  </si>
  <si>
    <t>10000 kg / 20000 kg / 48000 kg / 28000 kg</t>
  </si>
  <si>
    <t>Delphinidae (Lagenorhynchus albirostris / Leucopleurus acutus)</t>
  </si>
  <si>
    <t>Delphine (Weißschnauzendelfin / Weißseitendelfin)</t>
  </si>
  <si>
    <t>25 to 40 / 20</t>
  </si>
  <si>
    <t>220 kg / 230 kg</t>
  </si>
  <si>
    <t>Deep-sea copepods (Lucicutia polaris, Heterorhabdus compactus (now: Paraheterorhabdus compactus), Heterorhabdus norvegicus, Haloptilus acutifrons, Augaptilus glacialis, etc.)</t>
  </si>
  <si>
    <t>104075 (104111 / 104117)</t>
  </si>
  <si>
    <t>104075 (254602 / 237965 / 104339 / 104116)</t>
  </si>
  <si>
    <t>104086 (104560 / 1507271)</t>
  </si>
  <si>
    <t>104103 (104798 / 104790 / 1509944)</t>
  </si>
  <si>
    <t>X (220910 / 254603 / 104579 / 104422 / 104372)</t>
  </si>
  <si>
    <t>106422 (106642 / 106656)</t>
  </si>
  <si>
    <t>148724 (137087 / 137088 / 137091 / 137092)</t>
  </si>
  <si>
    <t>136980 (137101 / 1571853)</t>
  </si>
  <si>
    <t>MICROZOOPLANKTON (9)</t>
  </si>
  <si>
    <t>species list and trophic relation based on expert knowledge</t>
  </si>
  <si>
    <t>FISH (2/5)</t>
  </si>
  <si>
    <t>SEABIRDS (3)</t>
  </si>
  <si>
    <t>Apherusa sp. / Onisimus sp.</t>
  </si>
  <si>
    <t>Delphinidae</t>
  </si>
  <si>
    <t>MESOZOOPLANKTON (28)</t>
  </si>
  <si>
    <t>2 years (Beuchel &amp; Lonne 2002)</t>
  </si>
  <si>
    <t>7.5 years (Beuchel &amp; Lonne 2002)</t>
  </si>
  <si>
    <t>6.4 and 6.6 ml O2 gDM–1 d–1 (for Gammarus wilkitzkii, summer to winter) Werner &amp; Auel 2005</t>
  </si>
  <si>
    <t>12.7 - 14.0 ml O2 gDM–1 d–1  (for Apherusa glacialis, summer to winter), 4.9 - 6.3  ml O2 gDM–1 d–1 (for Onisimus sp,, summer to winter) Werner &amp; Auel 2005</t>
  </si>
  <si>
    <t>19.9 - 89.9 µmol O2 g–1 dry wt h–1 (Saborowski et al. 2002)</t>
  </si>
  <si>
    <t>75 - 560 mg WM (for males), 114 - 497 mg WM (for females) (Saborowski et al. 2002)</t>
  </si>
  <si>
    <t>61.3 mg DM (for Mertensia ovum) (Swanberg &amp; Bamstedt 1991)</t>
  </si>
  <si>
    <t>max. length: 40.0 cm, common length: 25.0 cm (Fishbase)</t>
  </si>
  <si>
    <t>96 kg, max. length: 200 cm, common length: 100 cm (Fishbase)</t>
  </si>
  <si>
    <t>16.8 kg, max. length: 112 cm, common length: 35.0 cm (Fishbase)</t>
  </si>
  <si>
    <t>52 g, max. length: 20 cm, common length: 15 cm (Fishbase)</t>
  </si>
  <si>
    <t>7 kg, max. length: 130 cm, common length: 56 cm (Fishbase)</t>
  </si>
  <si>
    <t>MAMMALS (8)</t>
  </si>
  <si>
    <t>Greenland Sea</t>
  </si>
  <si>
    <t>as of 11 Dec 2025</t>
  </si>
  <si>
    <t>Sebastes norvegicus</t>
  </si>
  <si>
    <t>Rotbarsch</t>
  </si>
  <si>
    <t>Clupea harengus</t>
  </si>
  <si>
    <t>Atlantischer Hering</t>
  </si>
  <si>
    <t>1.1 kg, max. length: 45.0 cm, common length: 30.0 cm (Fishbase)</t>
  </si>
  <si>
    <t>FISH (7)</t>
  </si>
  <si>
    <t xml:space="preserve">body mass </t>
  </si>
  <si>
    <t>respiration rate</t>
  </si>
  <si>
    <t>mean life expectancy (years)</t>
  </si>
  <si>
    <t>36.6 - 86.5 mg DM (for Gammarus wilkitzkii, summer to winter) Werner &amp; Auel 2005</t>
  </si>
  <si>
    <t>1.0 - 4.2 mg DM (for Apherusa glacialis, summer to winter), 2.1 - 9.2 mg DM (for Onisimus glacialis, summer to winter), 8.6 - 32.3 mg DM (for Onisimus nanseni, summer to winter) Werner &amp; Auel 2005</t>
  </si>
  <si>
    <t>mean body/cell mass µg</t>
  </si>
  <si>
    <t>common length fish (cm)</t>
  </si>
  <si>
    <t>max. 7 years (Fishbase); 10 years (Karamushko et al. 2021)</t>
  </si>
  <si>
    <t>max. 25 years (Fishbase)</t>
  </si>
  <si>
    <t>max. 20 years (Fishbase)</t>
  </si>
  <si>
    <t>max. 10 years (Fishbase)</t>
  </si>
  <si>
    <t>max. 36 years (Fishbase)</t>
  </si>
  <si>
    <t>max. 60 years (Fishbase)</t>
  </si>
  <si>
    <t>common weight fish (g)</t>
  </si>
  <si>
    <t>max. 15 kg, max. length: 100 cm, common length: 45 cm (Fishbase)</t>
  </si>
  <si>
    <t xml:space="preserve"> (104111 / 104117)</t>
  </si>
  <si>
    <t>(254602 / 237965 / 104339 / 104116)</t>
  </si>
  <si>
    <t>(104560 / 1507271)</t>
  </si>
  <si>
    <t xml:space="preserve"> (104798 / 104790 / 1509944)</t>
  </si>
  <si>
    <t xml:space="preserve"> / 254603 / 104579 / 104422 / 104372)</t>
  </si>
  <si>
    <t xml:space="preserve"> (106642 / 106656)</t>
  </si>
  <si>
    <t>/ 101631</t>
  </si>
  <si>
    <t>(137087 / 137088 / 137091 / 137092)</t>
  </si>
  <si>
    <t xml:space="preserve"> (137101 / 1571853)</t>
  </si>
  <si>
    <t>Life expectancy (number)</t>
  </si>
  <si>
    <t>longevity/life expectancy</t>
  </si>
  <si>
    <t xml:space="preserve">generation time/life exp (y) </t>
  </si>
  <si>
    <t>Aetideidae (detri.-omni.)</t>
  </si>
  <si>
    <t>Aetideidae (carni.-omni.)</t>
  </si>
  <si>
    <t>Deep-sea copepods</t>
  </si>
  <si>
    <t>Apherusa sp./Onisimus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</si>
</sst>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8" fillId="0" borderId="0" xfId="0" applyFont="1"/>
    <xf numFmtId="0" fontId="9" fillId="0" borderId="0" xfId="0" applyFont="1"/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11" fontId="9" fillId="0" borderId="0" xfId="0" applyNumberFormat="1" applyFont="1"/>
    <xf numFmtId="164" fontId="1" fillId="3" borderId="0" xfId="0" applyNumberFormat="1" applyFont="1" applyFill="1"/>
    <xf numFmtId="164" fontId="9" fillId="3" borderId="0" xfId="0" applyNumberFormat="1" applyFont="1" applyFill="1"/>
    <xf numFmtId="164" fontId="1" fillId="3" borderId="0" xfId="0" applyNumberFormat="1" applyFont="1" applyFill="1" applyAlignment="1">
      <alignment horizontal="left"/>
    </xf>
    <xf numFmtId="0" fontId="1" fillId="3" borderId="0" xfId="0" applyFont="1" applyFill="1"/>
    <xf numFmtId="0" fontId="9" fillId="3" borderId="0" xfId="0" applyFont="1" applyFill="1"/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038-18A0-4EAF-976E-14405729CAA6}">
  <dimension ref="A1:BI86"/>
  <sheetViews>
    <sheetView tabSelected="1" zoomScale="90" zoomScaleNormal="90" workbookViewId="0">
      <pane xSplit="5" ySplit="23" topLeftCell="AY24" activePane="bottomRight" state="frozen"/>
      <selection pane="topRight" activeCell="D1" sqref="D1"/>
      <selection pane="bottomLeft" activeCell="A11" sqref="A11"/>
      <selection pane="bottomRight" activeCell="BF10" sqref="BF10"/>
    </sheetView>
  </sheetViews>
  <sheetFormatPr defaultColWidth="11.5546875" defaultRowHeight="14.4" x14ac:dyDescent="0.3"/>
  <cols>
    <col min="1" max="1" width="5" customWidth="1"/>
    <col min="3" max="3" width="30.6640625" customWidth="1"/>
    <col min="4" max="4" width="11.5546875" style="8"/>
    <col min="5" max="5" width="27" customWidth="1"/>
    <col min="19" max="27" width="11.5546875" customWidth="1"/>
  </cols>
  <sheetData>
    <row r="1" spans="1:61" x14ac:dyDescent="0.3">
      <c r="A1" s="1" t="s">
        <v>204</v>
      </c>
      <c r="I1" s="4" t="s">
        <v>184</v>
      </c>
      <c r="P1" s="4" t="s">
        <v>190</v>
      </c>
      <c r="AR1" s="4" t="s">
        <v>211</v>
      </c>
      <c r="AY1" s="4" t="s">
        <v>187</v>
      </c>
      <c r="BB1" s="4" t="s">
        <v>203</v>
      </c>
    </row>
    <row r="2" spans="1:61" x14ac:dyDescent="0.3">
      <c r="A2" t="s">
        <v>185</v>
      </c>
      <c r="F2">
        <v>1</v>
      </c>
      <c r="G2">
        <v>2</v>
      </c>
      <c r="H2">
        <v>3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  <c r="X2">
        <v>9</v>
      </c>
      <c r="Y2">
        <v>10</v>
      </c>
      <c r="Z2">
        <v>11</v>
      </c>
      <c r="AA2">
        <v>12</v>
      </c>
      <c r="AB2">
        <v>13</v>
      </c>
      <c r="AC2">
        <v>14</v>
      </c>
      <c r="AD2">
        <v>15</v>
      </c>
      <c r="AE2">
        <v>16</v>
      </c>
      <c r="AF2">
        <v>17</v>
      </c>
      <c r="AG2">
        <v>18</v>
      </c>
      <c r="AH2">
        <v>19</v>
      </c>
      <c r="AI2">
        <v>20</v>
      </c>
      <c r="AJ2">
        <v>21</v>
      </c>
      <c r="AK2">
        <v>22</v>
      </c>
      <c r="AL2">
        <v>23</v>
      </c>
      <c r="AM2">
        <v>24</v>
      </c>
      <c r="AN2">
        <v>25</v>
      </c>
      <c r="AO2">
        <v>26</v>
      </c>
      <c r="AP2">
        <v>27</v>
      </c>
      <c r="AQ2">
        <v>28</v>
      </c>
      <c r="AR2">
        <v>1</v>
      </c>
      <c r="AS2">
        <v>2</v>
      </c>
      <c r="AT2">
        <v>3</v>
      </c>
      <c r="AU2">
        <v>4</v>
      </c>
      <c r="AV2">
        <v>5</v>
      </c>
      <c r="AW2">
        <v>6</v>
      </c>
      <c r="AX2">
        <v>7</v>
      </c>
      <c r="AY2">
        <v>1</v>
      </c>
      <c r="AZ2">
        <v>2</v>
      </c>
      <c r="BA2">
        <v>3</v>
      </c>
      <c r="BB2">
        <v>1</v>
      </c>
      <c r="BC2">
        <v>2</v>
      </c>
      <c r="BD2">
        <v>3</v>
      </c>
      <c r="BE2">
        <v>4</v>
      </c>
      <c r="BF2">
        <v>5</v>
      </c>
      <c r="BG2">
        <v>6</v>
      </c>
      <c r="BH2">
        <v>7</v>
      </c>
      <c r="BI2">
        <v>8</v>
      </c>
    </row>
    <row r="3" spans="1:61" x14ac:dyDescent="0.3">
      <c r="A3" t="s">
        <v>205</v>
      </c>
      <c r="E3" t="s">
        <v>36</v>
      </c>
      <c r="F3" t="s">
        <v>20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8</v>
      </c>
      <c r="AE3" t="s">
        <v>9</v>
      </c>
      <c r="AF3" t="s">
        <v>9</v>
      </c>
      <c r="AG3" t="s">
        <v>9</v>
      </c>
      <c r="AH3" t="s">
        <v>9</v>
      </c>
      <c r="AI3" t="s">
        <v>38</v>
      </c>
      <c r="AJ3" t="s">
        <v>38</v>
      </c>
      <c r="AK3" t="s">
        <v>39</v>
      </c>
      <c r="AL3" t="s">
        <v>40</v>
      </c>
      <c r="AM3" t="s">
        <v>40</v>
      </c>
      <c r="AN3" t="s">
        <v>14</v>
      </c>
      <c r="AO3" t="s">
        <v>41</v>
      </c>
      <c r="AP3" t="s">
        <v>42</v>
      </c>
      <c r="AQ3" t="s">
        <v>163</v>
      </c>
      <c r="AR3" t="s">
        <v>44</v>
      </c>
      <c r="AS3" t="s">
        <v>44</v>
      </c>
      <c r="AT3" t="s">
        <v>44</v>
      </c>
      <c r="AU3" t="s">
        <v>44</v>
      </c>
      <c r="AV3" t="s">
        <v>44</v>
      </c>
      <c r="AW3" t="s">
        <v>44</v>
      </c>
      <c r="AX3" t="s">
        <v>44</v>
      </c>
      <c r="AY3" t="s">
        <v>46</v>
      </c>
      <c r="AZ3" t="s">
        <v>46</v>
      </c>
      <c r="BA3" t="s">
        <v>46</v>
      </c>
      <c r="BB3" t="s">
        <v>43</v>
      </c>
      <c r="BC3" t="s">
        <v>114</v>
      </c>
      <c r="BD3" t="s">
        <v>45</v>
      </c>
      <c r="BE3" t="s">
        <v>43</v>
      </c>
      <c r="BF3" t="s">
        <v>43</v>
      </c>
      <c r="BG3" t="s">
        <v>43</v>
      </c>
      <c r="BH3" t="s">
        <v>43</v>
      </c>
      <c r="BI3" t="s">
        <v>114</v>
      </c>
    </row>
    <row r="4" spans="1:61" x14ac:dyDescent="0.3">
      <c r="E4" t="s">
        <v>75</v>
      </c>
      <c r="F4" t="s">
        <v>20</v>
      </c>
      <c r="H4" t="s">
        <v>103</v>
      </c>
      <c r="P4" t="s">
        <v>138</v>
      </c>
      <c r="Q4" t="s">
        <v>138</v>
      </c>
      <c r="R4" t="s">
        <v>138</v>
      </c>
      <c r="S4" t="s">
        <v>76</v>
      </c>
      <c r="T4" t="s">
        <v>76</v>
      </c>
      <c r="U4" t="s">
        <v>77</v>
      </c>
      <c r="V4" t="s">
        <v>139</v>
      </c>
      <c r="W4" t="s">
        <v>141</v>
      </c>
      <c r="X4" t="s">
        <v>78</v>
      </c>
      <c r="Y4" t="s">
        <v>79</v>
      </c>
      <c r="Z4" t="s">
        <v>80</v>
      </c>
      <c r="AA4" t="s">
        <v>150</v>
      </c>
      <c r="AB4" t="s">
        <v>81</v>
      </c>
      <c r="AC4" t="s">
        <v>82</v>
      </c>
      <c r="AD4" t="s">
        <v>8</v>
      </c>
      <c r="AE4" t="s">
        <v>83</v>
      </c>
      <c r="AF4" t="s">
        <v>83</v>
      </c>
      <c r="AG4" t="s">
        <v>155</v>
      </c>
      <c r="AH4" t="s">
        <v>158</v>
      </c>
      <c r="AI4" t="s">
        <v>84</v>
      </c>
      <c r="AJ4" t="s">
        <v>160</v>
      </c>
      <c r="AK4" t="s">
        <v>85</v>
      </c>
      <c r="AL4" t="s">
        <v>86</v>
      </c>
      <c r="AM4" t="s">
        <v>86</v>
      </c>
      <c r="AN4" t="s">
        <v>14</v>
      </c>
      <c r="AO4" t="s">
        <v>41</v>
      </c>
      <c r="AP4" t="s">
        <v>42</v>
      </c>
      <c r="AQ4" t="s">
        <v>163</v>
      </c>
      <c r="AR4" t="s">
        <v>44</v>
      </c>
      <c r="AS4" t="s">
        <v>44</v>
      </c>
      <c r="AT4" t="s">
        <v>44</v>
      </c>
      <c r="AU4" t="s">
        <v>44</v>
      </c>
      <c r="AV4" t="s">
        <v>44</v>
      </c>
      <c r="AW4" t="s">
        <v>44</v>
      </c>
      <c r="AX4" t="s">
        <v>44</v>
      </c>
      <c r="AY4" t="s">
        <v>46</v>
      </c>
      <c r="AZ4" t="s">
        <v>46</v>
      </c>
      <c r="BA4" t="s">
        <v>46</v>
      </c>
      <c r="BB4" t="s">
        <v>43</v>
      </c>
      <c r="BC4" t="s">
        <v>114</v>
      </c>
      <c r="BD4" t="s">
        <v>45</v>
      </c>
      <c r="BE4" t="s">
        <v>166</v>
      </c>
      <c r="BF4" t="s">
        <v>43</v>
      </c>
      <c r="BG4" t="s">
        <v>43</v>
      </c>
      <c r="BH4" t="s">
        <v>43</v>
      </c>
      <c r="BI4" t="s">
        <v>114</v>
      </c>
    </row>
    <row r="5" spans="1:61" x14ac:dyDescent="0.3">
      <c r="D5" s="9" t="s">
        <v>19</v>
      </c>
      <c r="E5" s="1" t="s">
        <v>15</v>
      </c>
      <c r="F5" t="s">
        <v>20</v>
      </c>
      <c r="G5" s="5" t="s">
        <v>93</v>
      </c>
      <c r="H5" s="5" t="s">
        <v>94</v>
      </c>
      <c r="I5" s="5" t="s">
        <v>95</v>
      </c>
      <c r="J5" s="5" t="s">
        <v>96</v>
      </c>
      <c r="K5" s="5" t="s">
        <v>97</v>
      </c>
      <c r="L5" s="5" t="s">
        <v>98</v>
      </c>
      <c r="M5" s="5" t="s">
        <v>99</v>
      </c>
      <c r="N5" s="5" t="s">
        <v>100</v>
      </c>
      <c r="O5" s="5" t="s">
        <v>101</v>
      </c>
      <c r="P5" t="s">
        <v>0</v>
      </c>
      <c r="Q5" t="s">
        <v>1</v>
      </c>
      <c r="R5" t="s">
        <v>2</v>
      </c>
      <c r="S5" t="s">
        <v>3</v>
      </c>
      <c r="T5" t="s">
        <v>4</v>
      </c>
      <c r="U5" t="s">
        <v>5</v>
      </c>
      <c r="V5" t="s">
        <v>137</v>
      </c>
      <c r="W5" t="s">
        <v>142</v>
      </c>
      <c r="X5" t="s">
        <v>145</v>
      </c>
      <c r="Y5" t="s">
        <v>148</v>
      </c>
      <c r="Z5" t="s">
        <v>6</v>
      </c>
      <c r="AA5" t="s">
        <v>175</v>
      </c>
      <c r="AB5" t="s">
        <v>152</v>
      </c>
      <c r="AC5" t="s">
        <v>7</v>
      </c>
      <c r="AD5" t="s">
        <v>8</v>
      </c>
      <c r="AE5" t="s">
        <v>10</v>
      </c>
      <c r="AF5" t="s">
        <v>11</v>
      </c>
      <c r="AG5" t="s">
        <v>154</v>
      </c>
      <c r="AH5" t="s">
        <v>159</v>
      </c>
      <c r="AI5" t="s">
        <v>135</v>
      </c>
      <c r="AJ5" t="s">
        <v>136</v>
      </c>
      <c r="AK5" t="s">
        <v>12</v>
      </c>
      <c r="AL5" t="s">
        <v>13</v>
      </c>
      <c r="AM5" t="s">
        <v>30</v>
      </c>
      <c r="AN5" t="s">
        <v>14</v>
      </c>
      <c r="AO5" t="s">
        <v>17</v>
      </c>
      <c r="AP5" t="s">
        <v>162</v>
      </c>
      <c r="AQ5" t="s">
        <v>163</v>
      </c>
      <c r="AR5" t="s">
        <v>21</v>
      </c>
      <c r="AS5" t="s">
        <v>105</v>
      </c>
      <c r="AT5" t="s">
        <v>104</v>
      </c>
      <c r="AU5" t="s">
        <v>102</v>
      </c>
      <c r="AV5" t="s">
        <v>106</v>
      </c>
      <c r="AW5" t="s">
        <v>206</v>
      </c>
      <c r="AX5" t="s">
        <v>208</v>
      </c>
      <c r="AY5" t="s">
        <v>25</v>
      </c>
      <c r="AZ5" t="s">
        <v>26</v>
      </c>
      <c r="BA5" t="s">
        <v>27</v>
      </c>
      <c r="BB5" t="s">
        <v>22</v>
      </c>
      <c r="BC5" t="s">
        <v>23</v>
      </c>
      <c r="BD5" t="s">
        <v>24</v>
      </c>
      <c r="BE5" t="s">
        <v>167</v>
      </c>
      <c r="BF5" t="s">
        <v>108</v>
      </c>
      <c r="BG5" t="s">
        <v>171</v>
      </c>
      <c r="BH5" t="s">
        <v>109</v>
      </c>
      <c r="BI5" t="s">
        <v>110</v>
      </c>
    </row>
    <row r="6" spans="1:61" x14ac:dyDescent="0.3">
      <c r="E6" s="1" t="s">
        <v>164</v>
      </c>
      <c r="AR6" t="s">
        <v>132</v>
      </c>
      <c r="AS6" t="s">
        <v>131</v>
      </c>
      <c r="AT6" t="s">
        <v>134</v>
      </c>
      <c r="AU6" t="s">
        <v>133</v>
      </c>
      <c r="AV6" t="s">
        <v>130</v>
      </c>
      <c r="AW6" t="s">
        <v>207</v>
      </c>
      <c r="AX6" t="s">
        <v>209</v>
      </c>
      <c r="AY6" t="s">
        <v>127</v>
      </c>
      <c r="AZ6" t="s">
        <v>128</v>
      </c>
      <c r="BA6" t="s">
        <v>129</v>
      </c>
      <c r="BB6" t="s">
        <v>121</v>
      </c>
      <c r="BC6" t="s">
        <v>125</v>
      </c>
      <c r="BD6" t="s">
        <v>126</v>
      </c>
      <c r="BE6" t="s">
        <v>168</v>
      </c>
      <c r="BF6" t="s">
        <v>122</v>
      </c>
      <c r="BG6" t="s">
        <v>172</v>
      </c>
      <c r="BH6" t="s">
        <v>123</v>
      </c>
      <c r="BI6" t="s">
        <v>124</v>
      </c>
    </row>
    <row r="7" spans="1:61" ht="15" customHeight="1" x14ac:dyDescent="0.3">
      <c r="D7" s="9"/>
      <c r="E7" s="1" t="s">
        <v>165</v>
      </c>
      <c r="F7" t="s">
        <v>20</v>
      </c>
      <c r="G7" s="5" t="s">
        <v>93</v>
      </c>
      <c r="H7" s="5" t="s">
        <v>94</v>
      </c>
      <c r="I7" s="5" t="s">
        <v>95</v>
      </c>
      <c r="J7" s="5" t="s">
        <v>96</v>
      </c>
      <c r="K7" s="5" t="s">
        <v>97</v>
      </c>
      <c r="L7" s="5" t="s">
        <v>98</v>
      </c>
      <c r="M7" s="5" t="s">
        <v>99</v>
      </c>
      <c r="N7" s="5" t="s">
        <v>100</v>
      </c>
      <c r="O7" s="5" t="s">
        <v>101</v>
      </c>
      <c r="P7" t="s">
        <v>0</v>
      </c>
      <c r="Q7" t="s">
        <v>1</v>
      </c>
      <c r="R7" t="s">
        <v>2</v>
      </c>
      <c r="S7" t="s">
        <v>3</v>
      </c>
      <c r="T7" t="s">
        <v>4</v>
      </c>
      <c r="U7" t="s">
        <v>5</v>
      </c>
      <c r="V7" t="s">
        <v>239</v>
      </c>
      <c r="W7" t="s">
        <v>240</v>
      </c>
      <c r="X7" t="s">
        <v>78</v>
      </c>
      <c r="Y7" t="s">
        <v>79</v>
      </c>
      <c r="Z7" t="s">
        <v>6</v>
      </c>
      <c r="AA7" t="s">
        <v>241</v>
      </c>
      <c r="AB7" t="s">
        <v>81</v>
      </c>
      <c r="AC7" t="s">
        <v>7</v>
      </c>
      <c r="AD7" t="s">
        <v>8</v>
      </c>
      <c r="AE7" t="s">
        <v>10</v>
      </c>
      <c r="AF7" t="s">
        <v>11</v>
      </c>
      <c r="AG7" t="s">
        <v>242</v>
      </c>
      <c r="AH7" t="s">
        <v>157</v>
      </c>
      <c r="AI7" t="s">
        <v>135</v>
      </c>
      <c r="AJ7" t="s">
        <v>136</v>
      </c>
      <c r="AK7" t="s">
        <v>12</v>
      </c>
      <c r="AL7" t="s">
        <v>13</v>
      </c>
      <c r="AM7" t="s">
        <v>30</v>
      </c>
      <c r="AN7" t="s">
        <v>14</v>
      </c>
      <c r="AO7" t="s">
        <v>41</v>
      </c>
      <c r="AP7" t="s">
        <v>42</v>
      </c>
      <c r="AQ7" t="s">
        <v>163</v>
      </c>
      <c r="AR7" t="s">
        <v>21</v>
      </c>
      <c r="AS7" t="s">
        <v>105</v>
      </c>
      <c r="AT7" t="s">
        <v>104</v>
      </c>
      <c r="AU7" t="s">
        <v>102</v>
      </c>
      <c r="AV7" t="s">
        <v>106</v>
      </c>
      <c r="AW7" t="s">
        <v>206</v>
      </c>
      <c r="AX7" t="s">
        <v>208</v>
      </c>
      <c r="AY7" t="s">
        <v>25</v>
      </c>
      <c r="AZ7" t="s">
        <v>26</v>
      </c>
      <c r="BA7" t="s">
        <v>27</v>
      </c>
      <c r="BB7" t="s">
        <v>22</v>
      </c>
      <c r="BC7" t="s">
        <v>23</v>
      </c>
      <c r="BD7" t="s">
        <v>24</v>
      </c>
      <c r="BE7" t="s">
        <v>166</v>
      </c>
      <c r="BF7" t="s">
        <v>108</v>
      </c>
      <c r="BG7" t="s">
        <v>189</v>
      </c>
      <c r="BH7" t="s">
        <v>109</v>
      </c>
      <c r="BI7" t="s">
        <v>110</v>
      </c>
    </row>
    <row r="8" spans="1:61" ht="15" customHeight="1" x14ac:dyDescent="0.3">
      <c r="C8" s="2" t="s">
        <v>18</v>
      </c>
      <c r="E8" s="1" t="s">
        <v>16</v>
      </c>
      <c r="F8" s="9">
        <v>1</v>
      </c>
      <c r="G8" s="8">
        <v>6</v>
      </c>
      <c r="H8" s="8">
        <v>160572</v>
      </c>
      <c r="I8" s="9">
        <v>2</v>
      </c>
      <c r="J8" s="9">
        <v>3</v>
      </c>
      <c r="K8" s="9">
        <v>4</v>
      </c>
      <c r="L8" s="9">
        <v>5</v>
      </c>
      <c r="M8" s="9">
        <v>7</v>
      </c>
      <c r="N8" s="9">
        <v>9</v>
      </c>
      <c r="O8" s="9">
        <v>10</v>
      </c>
      <c r="P8" s="8">
        <v>104464</v>
      </c>
      <c r="Q8" s="8">
        <v>104465</v>
      </c>
      <c r="R8" s="8">
        <v>104467</v>
      </c>
      <c r="S8" s="8">
        <v>104517</v>
      </c>
      <c r="T8" s="8">
        <v>104513</v>
      </c>
      <c r="U8" s="8">
        <v>104236</v>
      </c>
      <c r="V8" s="8">
        <v>104075</v>
      </c>
      <c r="W8" s="8">
        <v>104075</v>
      </c>
      <c r="X8" s="8">
        <v>104086</v>
      </c>
      <c r="Y8" s="8">
        <v>104103</v>
      </c>
      <c r="Z8" s="8">
        <v>104632</v>
      </c>
      <c r="AA8" s="8">
        <v>220910</v>
      </c>
      <c r="AB8" s="8">
        <v>106422</v>
      </c>
      <c r="AC8" s="8">
        <v>128690</v>
      </c>
      <c r="AD8" s="8">
        <v>1078</v>
      </c>
      <c r="AE8" s="8">
        <v>103259</v>
      </c>
      <c r="AF8" s="8">
        <v>156452</v>
      </c>
      <c r="AG8" s="8">
        <v>101509</v>
      </c>
      <c r="AH8" s="8">
        <v>102297</v>
      </c>
      <c r="AI8" s="8">
        <v>110679</v>
      </c>
      <c r="AJ8" s="8">
        <v>110690</v>
      </c>
      <c r="AK8" s="8">
        <v>107590</v>
      </c>
      <c r="AL8" s="8">
        <v>139178</v>
      </c>
      <c r="AM8" s="8">
        <v>138122</v>
      </c>
      <c r="AN8" s="8">
        <v>2081</v>
      </c>
      <c r="AO8" s="8">
        <v>103357</v>
      </c>
      <c r="AP8" s="8">
        <v>1337</v>
      </c>
      <c r="AQ8" s="8">
        <v>1248</v>
      </c>
      <c r="AR8" s="8">
        <v>126433</v>
      </c>
      <c r="AS8" s="8">
        <v>126436</v>
      </c>
      <c r="AT8" s="8">
        <v>126437</v>
      </c>
      <c r="AU8" s="8">
        <v>126735</v>
      </c>
      <c r="AV8" s="8">
        <v>127144</v>
      </c>
      <c r="AW8" s="8">
        <v>1044051</v>
      </c>
      <c r="AX8" s="8">
        <v>293567</v>
      </c>
      <c r="AY8" s="8">
        <v>137129</v>
      </c>
      <c r="AZ8" s="8">
        <v>137134</v>
      </c>
      <c r="BA8" s="8">
        <v>137130</v>
      </c>
      <c r="BB8" s="11">
        <v>137086</v>
      </c>
      <c r="BC8" s="11">
        <v>159021</v>
      </c>
      <c r="BD8" s="11">
        <v>137085</v>
      </c>
      <c r="BE8" s="11">
        <v>148724</v>
      </c>
      <c r="BF8" s="11">
        <v>137090</v>
      </c>
      <c r="BG8" s="11">
        <v>136980</v>
      </c>
      <c r="BH8" s="11">
        <v>137102</v>
      </c>
      <c r="BI8" s="11">
        <v>159019</v>
      </c>
    </row>
    <row r="9" spans="1:61" ht="15" customHeight="1" x14ac:dyDescent="0.3">
      <c r="C9" s="2"/>
      <c r="E9" s="1"/>
      <c r="F9" s="9"/>
      <c r="G9" s="8"/>
      <c r="H9" s="8"/>
      <c r="I9" s="9"/>
      <c r="J9" s="9"/>
      <c r="K9" s="9"/>
      <c r="L9" s="9"/>
      <c r="M9" s="9"/>
      <c r="N9" s="9"/>
      <c r="O9" s="9"/>
      <c r="P9" s="8"/>
      <c r="Q9" s="8"/>
      <c r="R9" s="8"/>
      <c r="S9" s="8"/>
      <c r="T9" s="8"/>
      <c r="U9" s="8"/>
      <c r="V9" s="8" t="s">
        <v>227</v>
      </c>
      <c r="W9" s="8" t="s">
        <v>228</v>
      </c>
      <c r="X9" s="8" t="s">
        <v>229</v>
      </c>
      <c r="Y9" s="8" t="s">
        <v>230</v>
      </c>
      <c r="Z9" s="8"/>
      <c r="AA9" s="8" t="s">
        <v>231</v>
      </c>
      <c r="AB9" s="8" t="s">
        <v>232</v>
      </c>
      <c r="AC9" s="8"/>
      <c r="AD9" s="8"/>
      <c r="AE9" s="8"/>
      <c r="AF9" s="8"/>
      <c r="AG9" s="8" t="s">
        <v>233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11"/>
      <c r="BC9" s="11"/>
      <c r="BD9" s="11"/>
      <c r="BE9" s="11" t="s">
        <v>234</v>
      </c>
      <c r="BF9" s="11"/>
      <c r="BG9" s="11" t="s">
        <v>235</v>
      </c>
      <c r="BH9" s="11"/>
      <c r="BI9" s="11"/>
    </row>
    <row r="10" spans="1:61" ht="15" customHeight="1" x14ac:dyDescent="0.3">
      <c r="C10" s="2"/>
      <c r="E10" s="1" t="s">
        <v>237</v>
      </c>
      <c r="F10" t="s">
        <v>35</v>
      </c>
      <c r="G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153</v>
      </c>
      <c r="AC10" t="s">
        <v>35</v>
      </c>
      <c r="AD10" t="s">
        <v>73</v>
      </c>
      <c r="AE10" t="s">
        <v>35</v>
      </c>
      <c r="AF10" t="s">
        <v>50</v>
      </c>
      <c r="AG10" t="s">
        <v>191</v>
      </c>
      <c r="AH10" t="s">
        <v>192</v>
      </c>
      <c r="AI10" t="s">
        <v>35</v>
      </c>
      <c r="AK10" t="s">
        <v>35</v>
      </c>
      <c r="AL10" t="s">
        <v>35</v>
      </c>
      <c r="AM10" t="s">
        <v>35</v>
      </c>
      <c r="AN10" t="s">
        <v>87</v>
      </c>
      <c r="AO10" t="s">
        <v>35</v>
      </c>
      <c r="AP10" t="s">
        <v>35</v>
      </c>
      <c r="AR10" t="s">
        <v>219</v>
      </c>
      <c r="AS10" t="s">
        <v>220</v>
      </c>
      <c r="AT10" t="s">
        <v>221</v>
      </c>
      <c r="AU10" t="s">
        <v>222</v>
      </c>
      <c r="AV10" t="s">
        <v>223</v>
      </c>
      <c r="AW10" t="s">
        <v>224</v>
      </c>
      <c r="AX10" t="s">
        <v>220</v>
      </c>
      <c r="AY10" t="s">
        <v>90</v>
      </c>
      <c r="AZ10" t="s">
        <v>91</v>
      </c>
      <c r="BA10" t="s">
        <v>92</v>
      </c>
      <c r="BB10" t="s">
        <v>88</v>
      </c>
      <c r="BC10" t="s">
        <v>89</v>
      </c>
      <c r="BD10" t="s">
        <v>113</v>
      </c>
      <c r="BE10" t="s">
        <v>169</v>
      </c>
      <c r="BF10" t="s">
        <v>111</v>
      </c>
      <c r="BG10" t="s">
        <v>173</v>
      </c>
      <c r="BH10">
        <v>50</v>
      </c>
      <c r="BI10" t="s">
        <v>112</v>
      </c>
    </row>
    <row r="11" spans="1:61" ht="15" customHeight="1" x14ac:dyDescent="0.3">
      <c r="C11" s="2"/>
      <c r="E11" s="1" t="s">
        <v>236</v>
      </c>
      <c r="AR11">
        <v>7</v>
      </c>
      <c r="AS11">
        <v>25</v>
      </c>
      <c r="AT11">
        <v>20</v>
      </c>
      <c r="AU11">
        <v>10</v>
      </c>
      <c r="AV11">
        <v>36</v>
      </c>
      <c r="AW11">
        <v>60</v>
      </c>
      <c r="AX11">
        <v>25</v>
      </c>
    </row>
    <row r="12" spans="1:61" s="6" customFormat="1" ht="15" customHeight="1" x14ac:dyDescent="0.3">
      <c r="D12" s="12"/>
      <c r="E12" s="6" t="s">
        <v>214</v>
      </c>
      <c r="AB12" s="6">
        <v>1</v>
      </c>
      <c r="AD12" s="6">
        <v>1.5</v>
      </c>
      <c r="AF12" s="6">
        <v>3</v>
      </c>
      <c r="AG12" s="6">
        <v>2</v>
      </c>
      <c r="AH12" s="6">
        <f>7.5/2</f>
        <v>3.75</v>
      </c>
      <c r="AN12" s="6">
        <v>2.5</v>
      </c>
      <c r="AR12" s="6">
        <f>(AR11/3)</f>
        <v>2.3333333333333335</v>
      </c>
      <c r="AS12" s="6">
        <f t="shared" ref="AS12:AX12" si="0">(AS11/3)</f>
        <v>8.3333333333333339</v>
      </c>
      <c r="AT12" s="6">
        <f t="shared" si="0"/>
        <v>6.666666666666667</v>
      </c>
      <c r="AU12" s="6">
        <f t="shared" si="0"/>
        <v>3.3333333333333335</v>
      </c>
      <c r="AV12" s="6">
        <f t="shared" si="0"/>
        <v>12</v>
      </c>
      <c r="AW12" s="6">
        <f t="shared" si="0"/>
        <v>20</v>
      </c>
      <c r="AX12" s="6">
        <f t="shared" si="0"/>
        <v>8.3333333333333339</v>
      </c>
      <c r="AY12" s="6">
        <v>20</v>
      </c>
      <c r="AZ12" s="6">
        <v>25</v>
      </c>
      <c r="BA12" s="6">
        <v>10</v>
      </c>
      <c r="BB12" s="6">
        <v>100</v>
      </c>
      <c r="BC12" s="6">
        <v>31.5</v>
      </c>
      <c r="BD12" s="6">
        <v>25</v>
      </c>
      <c r="BE12" s="6">
        <v>45</v>
      </c>
      <c r="BF12" s="6">
        <v>80</v>
      </c>
      <c r="BG12" s="6">
        <v>26.25</v>
      </c>
      <c r="BH12" s="6">
        <v>50</v>
      </c>
      <c r="BI12" s="6">
        <v>32.5</v>
      </c>
    </row>
    <row r="13" spans="1:61" ht="15" customHeight="1" x14ac:dyDescent="0.3">
      <c r="C13" s="2"/>
      <c r="E13" s="1" t="s">
        <v>212</v>
      </c>
      <c r="F13" t="s">
        <v>35</v>
      </c>
      <c r="G13" t="s">
        <v>35</v>
      </c>
      <c r="P13" t="s">
        <v>58</v>
      </c>
      <c r="Q13" t="s">
        <v>57</v>
      </c>
      <c r="R13" t="s">
        <v>56</v>
      </c>
      <c r="S13" t="s">
        <v>64</v>
      </c>
      <c r="T13" t="s">
        <v>65</v>
      </c>
      <c r="U13" t="s">
        <v>66</v>
      </c>
      <c r="V13" t="s">
        <v>140</v>
      </c>
      <c r="W13" t="s">
        <v>144</v>
      </c>
      <c r="X13" t="s">
        <v>147</v>
      </c>
      <c r="Y13" t="s">
        <v>149</v>
      </c>
      <c r="Z13" t="s">
        <v>63</v>
      </c>
      <c r="AA13" t="s">
        <v>151</v>
      </c>
      <c r="AB13" t="s">
        <v>67</v>
      </c>
      <c r="AC13" t="s">
        <v>68</v>
      </c>
      <c r="AD13" t="s">
        <v>35</v>
      </c>
      <c r="AE13" t="s">
        <v>60</v>
      </c>
      <c r="AF13" t="s">
        <v>59</v>
      </c>
      <c r="AG13" t="s">
        <v>216</v>
      </c>
      <c r="AH13" t="s">
        <v>215</v>
      </c>
      <c r="AI13" t="s">
        <v>69</v>
      </c>
      <c r="AJ13" t="s">
        <v>196</v>
      </c>
      <c r="AK13" t="s">
        <v>70</v>
      </c>
      <c r="AL13" t="s">
        <v>74</v>
      </c>
      <c r="AM13" t="s">
        <v>71</v>
      </c>
      <c r="AN13" t="s">
        <v>35</v>
      </c>
      <c r="AO13" t="s">
        <v>72</v>
      </c>
      <c r="AP13" t="s">
        <v>161</v>
      </c>
      <c r="AQ13" t="s">
        <v>197</v>
      </c>
      <c r="AR13" t="s">
        <v>198</v>
      </c>
      <c r="AS13" t="s">
        <v>199</v>
      </c>
      <c r="AT13" t="s">
        <v>200</v>
      </c>
      <c r="AU13" t="s">
        <v>201</v>
      </c>
      <c r="AV13" t="s">
        <v>202</v>
      </c>
      <c r="AW13" t="s">
        <v>226</v>
      </c>
      <c r="AX13" t="s">
        <v>210</v>
      </c>
      <c r="AY13" t="s">
        <v>35</v>
      </c>
      <c r="AZ13" t="s">
        <v>35</v>
      </c>
      <c r="BA13" t="s">
        <v>35</v>
      </c>
      <c r="BB13" s="7" t="s">
        <v>115</v>
      </c>
      <c r="BC13" t="s">
        <v>119</v>
      </c>
      <c r="BD13" t="s">
        <v>120</v>
      </c>
      <c r="BE13" t="s">
        <v>170</v>
      </c>
      <c r="BF13" t="s">
        <v>116</v>
      </c>
      <c r="BG13" t="s">
        <v>174</v>
      </c>
      <c r="BH13" t="s">
        <v>117</v>
      </c>
      <c r="BI13" t="s">
        <v>118</v>
      </c>
    </row>
    <row r="14" spans="1:61" ht="15" customHeight="1" x14ac:dyDescent="0.3">
      <c r="C14" s="2"/>
      <c r="E14" s="1" t="s">
        <v>225</v>
      </c>
      <c r="AS14">
        <f>96*(1/2)*1000</f>
        <v>48000</v>
      </c>
      <c r="AT14">
        <f>16.8*(35/116)*1000</f>
        <v>5068.9655172413786</v>
      </c>
      <c r="AU14">
        <f>52*(15/20)</f>
        <v>39</v>
      </c>
      <c r="AV14">
        <f>(56/130)*7000</f>
        <v>3015.3846153846157</v>
      </c>
      <c r="AW14">
        <f>+(45/100)*15000</f>
        <v>6750</v>
      </c>
      <c r="AX14">
        <f>(30/45)*1100</f>
        <v>733.33333333333326</v>
      </c>
      <c r="BB14" s="7"/>
    </row>
    <row r="15" spans="1:61" ht="15" customHeight="1" x14ac:dyDescent="0.3">
      <c r="C15" s="2"/>
      <c r="E15" s="1" t="s">
        <v>218</v>
      </c>
      <c r="AR15">
        <v>25</v>
      </c>
      <c r="AS15">
        <v>100</v>
      </c>
      <c r="AT15">
        <v>35</v>
      </c>
      <c r="AU15">
        <v>15</v>
      </c>
      <c r="AV15">
        <v>56</v>
      </c>
      <c r="AW15">
        <v>45</v>
      </c>
      <c r="AX15">
        <v>30</v>
      </c>
      <c r="BB15" s="7"/>
    </row>
    <row r="16" spans="1:61" ht="15" customHeight="1" x14ac:dyDescent="0.3">
      <c r="C16" s="2"/>
      <c r="E16" s="1" t="s">
        <v>217</v>
      </c>
      <c r="I16">
        <v>9.9999999999999995E-8</v>
      </c>
      <c r="J16">
        <v>1.0000000000000001E-5</v>
      </c>
      <c r="K16">
        <v>2.0000000000000002E-5</v>
      </c>
      <c r="L16">
        <v>3.0000000000000001E-5</v>
      </c>
      <c r="M16">
        <v>1E-3</v>
      </c>
      <c r="N16">
        <v>3.0000000000000001E-3</v>
      </c>
      <c r="O16">
        <v>5.0000000000000001E-3</v>
      </c>
      <c r="P16">
        <f>0.44*1000</f>
        <v>440</v>
      </c>
      <c r="Q16">
        <v>1500</v>
      </c>
      <c r="R16">
        <f>3.92*1000</f>
        <v>3920</v>
      </c>
      <c r="S16">
        <v>16.670000000000002</v>
      </c>
      <c r="T16">
        <v>7</v>
      </c>
      <c r="U16">
        <v>13</v>
      </c>
      <c r="V16">
        <v>531</v>
      </c>
      <c r="W16">
        <v>500</v>
      </c>
      <c r="X16">
        <v>5237</v>
      </c>
      <c r="Y16">
        <v>730</v>
      </c>
      <c r="Z16">
        <v>212</v>
      </c>
      <c r="AA16">
        <v>316</v>
      </c>
      <c r="AB16">
        <v>3</v>
      </c>
      <c r="AC16">
        <v>2</v>
      </c>
      <c r="AE16">
        <v>4240</v>
      </c>
      <c r="AF16">
        <v>25000</v>
      </c>
      <c r="AG16">
        <v>8000</v>
      </c>
      <c r="AH16">
        <v>75000</v>
      </c>
      <c r="AI16">
        <v>4000</v>
      </c>
      <c r="AJ16">
        <f>311500*0.25</f>
        <v>77875</v>
      </c>
      <c r="AK16">
        <v>41000</v>
      </c>
      <c r="AL16">
        <v>32300</v>
      </c>
      <c r="AM16">
        <v>343</v>
      </c>
      <c r="AO16">
        <v>200</v>
      </c>
      <c r="AP16">
        <v>1440</v>
      </c>
      <c r="AQ16">
        <v>61000</v>
      </c>
      <c r="BB16" s="7"/>
    </row>
    <row r="17" spans="1:61" s="6" customFormat="1" ht="15" customHeight="1" x14ac:dyDescent="0.3">
      <c r="D17" s="12"/>
      <c r="E17" s="6" t="s">
        <v>238</v>
      </c>
      <c r="I17" s="6">
        <f t="shared" ref="I17:O17" si="1">(150*(I16^(0.2)))/365</f>
        <v>1.6360568652883441E-2</v>
      </c>
      <c r="J17" s="6">
        <f t="shared" si="1"/>
        <v>4.1095890410958895E-2</v>
      </c>
      <c r="K17" s="6">
        <f t="shared" si="1"/>
        <v>4.7206781712206908E-2</v>
      </c>
      <c r="L17" s="6">
        <f t="shared" si="1"/>
        <v>5.1194422175980164E-2</v>
      </c>
      <c r="M17" s="6">
        <f t="shared" si="1"/>
        <v>0.10322820951409234</v>
      </c>
      <c r="N17" s="6">
        <f t="shared" si="1"/>
        <v>0.12859457443281772</v>
      </c>
      <c r="O17" s="6">
        <f t="shared" si="1"/>
        <v>0.14242702256612599</v>
      </c>
      <c r="P17" s="6">
        <f>(150*(P16^(0.2)))/365</f>
        <v>1.3883179214549208</v>
      </c>
      <c r="Q17" s="6">
        <f t="shared" ref="Q17:V17" si="2">(150*(Q16^(0.2)))/365</f>
        <v>1.7742574864794063</v>
      </c>
      <c r="R17" s="6">
        <f t="shared" si="2"/>
        <v>2.1500848942778648</v>
      </c>
      <c r="S17" s="6">
        <f t="shared" si="2"/>
        <v>0.72141557546755242</v>
      </c>
      <c r="T17" s="6">
        <f t="shared" si="2"/>
        <v>0.60648212120324052</v>
      </c>
      <c r="U17" s="6">
        <f t="shared" si="2"/>
        <v>0.68641547356225086</v>
      </c>
      <c r="V17" s="6">
        <f t="shared" si="2"/>
        <v>1.4415088027856751</v>
      </c>
      <c r="W17" s="6">
        <f>(150*(W16^(0.2)))/365</f>
        <v>1.4242702256612598</v>
      </c>
      <c r="X17" s="6">
        <f t="shared" ref="X17" si="3">(150*(X16^(0.2)))/365</f>
        <v>2.2783209799287589</v>
      </c>
      <c r="Y17" s="6">
        <f t="shared" ref="Y17" si="4">(150*(Y16^(0.2)))/365</f>
        <v>1.5362537875432356</v>
      </c>
      <c r="Z17" s="6">
        <f t="shared" ref="Z17" si="5">(150*(Z16^(0.2)))/365</f>
        <v>1.1996804089502953</v>
      </c>
      <c r="AA17" s="6">
        <f t="shared" ref="AA17" si="6">(150*(AA16^(0.2)))/365</f>
        <v>1.2993789028099192</v>
      </c>
      <c r="AB17" s="6">
        <f t="shared" ref="AB17" si="7">(150*(AB16^(0.2)))/365</f>
        <v>0.5119442217598017</v>
      </c>
      <c r="AC17" s="6">
        <f t="shared" ref="AC17" si="8">(150*(AC16^(0.2)))/365</f>
        <v>0.47206781712206919</v>
      </c>
      <c r="AE17" s="6">
        <f t="shared" ref="AE17" si="9">(150*(AE16^(0.2)))/365</f>
        <v>2.1840952076065965</v>
      </c>
      <c r="AF17" s="6">
        <f t="shared" ref="AF17" si="10">(150*(AF16^(0.2)))/365</f>
        <v>3.1144860955693119</v>
      </c>
      <c r="AG17" s="6">
        <f t="shared" ref="AG17" si="11">(150*(AG16^(0.2)))/365</f>
        <v>2.4797984944706153</v>
      </c>
      <c r="AH17" s="6">
        <f t="shared" ref="AH17" si="12">(150*(AH16^(0.2)))/365</f>
        <v>3.8798116902530215</v>
      </c>
      <c r="AI17" s="6">
        <f t="shared" ref="AI17" si="13">(150*(AI16^(0.2)))/365</f>
        <v>2.1587899762222746</v>
      </c>
      <c r="AJ17" s="6">
        <f t="shared" ref="AJ17" si="14">(150*(AJ16^(0.2)))/365</f>
        <v>3.9091110364127708</v>
      </c>
      <c r="AK17" s="6">
        <f t="shared" ref="AK17" si="15">(150*(AK16^(0.2)))/365</f>
        <v>3.4383902443960572</v>
      </c>
      <c r="AL17" s="6">
        <f t="shared" ref="AL17" si="16">(150*(AL16^(0.2)))/365</f>
        <v>3.2782260653432296</v>
      </c>
      <c r="AM17" s="6">
        <f t="shared" ref="AM17" si="17">(150*(AM16^(0.2)))/365</f>
        <v>1.3208613081024814</v>
      </c>
      <c r="AN17" s="6">
        <f t="shared" ref="AN17" si="18">(150*(AN16^(0.2)))/365</f>
        <v>0</v>
      </c>
      <c r="AO17" s="6">
        <f t="shared" ref="AO17" si="19">(150*(AO16^(0.2)))/365</f>
        <v>1.1857807445812714</v>
      </c>
      <c r="AP17" s="6">
        <f t="shared" ref="AP17" si="20">(150*(AP16^(0.2)))/365</f>
        <v>1.7598307137027325</v>
      </c>
      <c r="AQ17" s="6">
        <f t="shared" ref="AQ17" si="21">(150*(AQ16^(0.2)))/365</f>
        <v>3.7227541942635058</v>
      </c>
      <c r="BB17" s="13"/>
    </row>
    <row r="18" spans="1:61" s="14" customFormat="1" ht="15" customHeight="1" x14ac:dyDescent="0.3">
      <c r="C18" s="15"/>
      <c r="D18" s="16"/>
      <c r="E18" s="14" t="s">
        <v>107</v>
      </c>
      <c r="F18" s="14">
        <v>1</v>
      </c>
      <c r="G18" s="14">
        <v>365</v>
      </c>
      <c r="H18" s="14">
        <v>300</v>
      </c>
      <c r="I18" s="14">
        <f t="shared" ref="I18:AA18" si="22">1/I17</f>
        <v>61.122569833399815</v>
      </c>
      <c r="J18" s="14">
        <f t="shared" si="22"/>
        <v>24.333333333333339</v>
      </c>
      <c r="K18" s="14">
        <f t="shared" si="22"/>
        <v>21.183397040205691</v>
      </c>
      <c r="L18" s="14">
        <f t="shared" si="22"/>
        <v>19.533378002832279</v>
      </c>
      <c r="M18" s="14">
        <f t="shared" si="22"/>
        <v>9.6872744834684319</v>
      </c>
      <c r="N18" s="14">
        <f t="shared" si="22"/>
        <v>7.7763778480594823</v>
      </c>
      <c r="O18" s="14">
        <f t="shared" si="22"/>
        <v>7.0211395420817713</v>
      </c>
      <c r="P18" s="14">
        <f t="shared" si="22"/>
        <v>0.72029611124808224</v>
      </c>
      <c r="Q18" s="14">
        <f t="shared" si="22"/>
        <v>0.56361605213472321</v>
      </c>
      <c r="R18" s="14">
        <f t="shared" si="22"/>
        <v>0.46509791434810466</v>
      </c>
      <c r="S18" s="14">
        <f t="shared" si="22"/>
        <v>1.3861635844941327</v>
      </c>
      <c r="T18" s="14">
        <f t="shared" si="22"/>
        <v>1.6488532226078372</v>
      </c>
      <c r="U18" s="14">
        <f t="shared" si="22"/>
        <v>1.4568436151509778</v>
      </c>
      <c r="V18" s="14">
        <f t="shared" si="22"/>
        <v>0.69371758123677651</v>
      </c>
      <c r="W18" s="14">
        <f t="shared" si="22"/>
        <v>0.70211395420817724</v>
      </c>
      <c r="X18" s="14">
        <f t="shared" si="22"/>
        <v>0.43891971711170791</v>
      </c>
      <c r="Y18" s="14">
        <f t="shared" si="22"/>
        <v>0.65093411525395928</v>
      </c>
      <c r="Z18" s="14">
        <f t="shared" si="22"/>
        <v>0.83355533068593413</v>
      </c>
      <c r="AA18" s="14">
        <f t="shared" si="22"/>
        <v>0.7695984580305949</v>
      </c>
      <c r="AB18" s="14">
        <f>1/AB12</f>
        <v>1</v>
      </c>
      <c r="AC18" s="14">
        <f>1/AC17</f>
        <v>2.1183397040205687</v>
      </c>
      <c r="AD18" s="14">
        <f>1/AD12</f>
        <v>0.66666666666666663</v>
      </c>
      <c r="AE18" s="14">
        <f>1/AE17</f>
        <v>0.45785549847702517</v>
      </c>
      <c r="AF18" s="14">
        <f>1/AF12</f>
        <v>0.33333333333333331</v>
      </c>
      <c r="AG18" s="14">
        <f>1/AG12</f>
        <v>0.5</v>
      </c>
      <c r="AH18" s="14">
        <f>1/AH12</f>
        <v>0.26666666666666666</v>
      </c>
      <c r="AI18" s="14">
        <f>1/AI17</f>
        <v>0.46322245842086374</v>
      </c>
      <c r="AJ18" s="14">
        <f>1/AJ17</f>
        <v>0.25581263634753609</v>
      </c>
      <c r="AK18" s="14">
        <f>1/AK17</f>
        <v>0.29083377072448824</v>
      </c>
      <c r="AL18" s="14">
        <f>1/AL17</f>
        <v>0.30504302634031438</v>
      </c>
      <c r="AM18" s="14">
        <f>1/AM17</f>
        <v>0.75708175708210934</v>
      </c>
      <c r="AN18" s="14">
        <f>1/AN12</f>
        <v>0.4</v>
      </c>
      <c r="AO18" s="14">
        <f>1/AO17</f>
        <v>0.84332622583876149</v>
      </c>
      <c r="AP18" s="14">
        <f>1/AP17</f>
        <v>0.56823647423221313</v>
      </c>
      <c r="AQ18" s="14">
        <f>1/AQ17</f>
        <v>0.26861832606109948</v>
      </c>
      <c r="AR18" s="14">
        <f t="shared" ref="AR18:BI18" si="23">1/AR12</f>
        <v>0.42857142857142855</v>
      </c>
      <c r="AS18" s="14">
        <f t="shared" si="23"/>
        <v>0.12</v>
      </c>
      <c r="AT18" s="14">
        <f t="shared" si="23"/>
        <v>0.15</v>
      </c>
      <c r="AU18" s="14">
        <f t="shared" si="23"/>
        <v>0.3</v>
      </c>
      <c r="AV18" s="14">
        <f t="shared" si="23"/>
        <v>8.3333333333333329E-2</v>
      </c>
      <c r="AW18" s="14">
        <f t="shared" si="23"/>
        <v>0.05</v>
      </c>
      <c r="AX18" s="14">
        <f t="shared" si="23"/>
        <v>0.12</v>
      </c>
      <c r="AY18" s="14">
        <f t="shared" si="23"/>
        <v>0.05</v>
      </c>
      <c r="AZ18" s="14">
        <f t="shared" si="23"/>
        <v>0.04</v>
      </c>
      <c r="BA18" s="14">
        <f t="shared" si="23"/>
        <v>0.1</v>
      </c>
      <c r="BB18" s="14">
        <f t="shared" si="23"/>
        <v>0.01</v>
      </c>
      <c r="BC18" s="14">
        <f t="shared" si="23"/>
        <v>3.1746031746031744E-2</v>
      </c>
      <c r="BD18" s="14">
        <f t="shared" si="23"/>
        <v>0.04</v>
      </c>
      <c r="BE18" s="14">
        <f t="shared" si="23"/>
        <v>2.2222222222222223E-2</v>
      </c>
      <c r="BF18" s="14">
        <f t="shared" si="23"/>
        <v>1.2500000000000001E-2</v>
      </c>
      <c r="BG18" s="14">
        <f t="shared" si="23"/>
        <v>3.8095238095238099E-2</v>
      </c>
      <c r="BH18" s="14">
        <f t="shared" si="23"/>
        <v>0.02</v>
      </c>
      <c r="BI18" s="14">
        <f t="shared" si="23"/>
        <v>3.0769230769230771E-2</v>
      </c>
    </row>
    <row r="19" spans="1:61" s="17" customFormat="1" ht="15" customHeight="1" x14ac:dyDescent="0.3">
      <c r="C19" s="18"/>
      <c r="D19" s="19"/>
      <c r="E19" s="17" t="s">
        <v>34</v>
      </c>
      <c r="F19" s="17">
        <v>0</v>
      </c>
      <c r="G19" s="17">
        <v>0</v>
      </c>
      <c r="H19" s="17">
        <v>0</v>
      </c>
      <c r="I19" s="17">
        <v>1</v>
      </c>
      <c r="J19" s="17">
        <v>1</v>
      </c>
      <c r="K19" s="17">
        <v>0.5</v>
      </c>
      <c r="L19" s="17">
        <v>0</v>
      </c>
      <c r="M19" s="17">
        <v>1</v>
      </c>
      <c r="N19" s="17">
        <v>0.5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</row>
    <row r="20" spans="1:61" ht="15" customHeight="1" x14ac:dyDescent="0.3">
      <c r="C20" s="2"/>
      <c r="E20" s="1" t="s">
        <v>33</v>
      </c>
      <c r="F20" t="s">
        <v>35</v>
      </c>
      <c r="G20" t="s">
        <v>35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32</v>
      </c>
      <c r="AE20">
        <v>0</v>
      </c>
      <c r="AF20">
        <v>0</v>
      </c>
      <c r="AI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F20">
        <v>1</v>
      </c>
      <c r="BH20">
        <v>1</v>
      </c>
    </row>
    <row r="21" spans="1:61" ht="15" customHeight="1" x14ac:dyDescent="0.3">
      <c r="C21" s="2"/>
      <c r="E21" s="1" t="s">
        <v>31</v>
      </c>
      <c r="F21" t="s">
        <v>35</v>
      </c>
      <c r="G21" t="s">
        <v>35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I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3</v>
      </c>
      <c r="BE21">
        <v>2</v>
      </c>
      <c r="BF21">
        <v>2</v>
      </c>
      <c r="BG21">
        <v>3</v>
      </c>
      <c r="BH21">
        <v>3</v>
      </c>
      <c r="BI21">
        <v>3</v>
      </c>
    </row>
    <row r="22" spans="1:61" ht="15" customHeight="1" x14ac:dyDescent="0.3">
      <c r="C22" s="2"/>
      <c r="E22" s="1" t="s">
        <v>213</v>
      </c>
      <c r="F22" t="s">
        <v>35</v>
      </c>
      <c r="G22" t="s">
        <v>35</v>
      </c>
      <c r="P22" t="s">
        <v>51</v>
      </c>
      <c r="Q22" t="s">
        <v>52</v>
      </c>
      <c r="R22" t="s">
        <v>53</v>
      </c>
      <c r="S22" t="s">
        <v>35</v>
      </c>
      <c r="T22" t="s">
        <v>35</v>
      </c>
      <c r="U22" t="s">
        <v>35</v>
      </c>
      <c r="V22" t="s">
        <v>49</v>
      </c>
      <c r="W22" t="s">
        <v>143</v>
      </c>
      <c r="X22" t="s">
        <v>146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55</v>
      </c>
      <c r="AF22" t="s">
        <v>54</v>
      </c>
      <c r="AG22" t="s">
        <v>194</v>
      </c>
      <c r="AH22" t="s">
        <v>193</v>
      </c>
      <c r="AI22" t="s">
        <v>35</v>
      </c>
      <c r="AJ22" t="s">
        <v>195</v>
      </c>
      <c r="AK22" t="s">
        <v>35</v>
      </c>
      <c r="AL22" t="s">
        <v>35</v>
      </c>
      <c r="AM22" t="s">
        <v>35</v>
      </c>
      <c r="AN22" t="s">
        <v>35</v>
      </c>
      <c r="AO22" t="s">
        <v>35</v>
      </c>
      <c r="AP22" t="s">
        <v>35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 t="s">
        <v>35</v>
      </c>
      <c r="BB22" t="s">
        <v>35</v>
      </c>
      <c r="BC22" t="s">
        <v>35</v>
      </c>
      <c r="BD22" t="s">
        <v>35</v>
      </c>
      <c r="BE22" t="s">
        <v>35</v>
      </c>
      <c r="BF22" t="s">
        <v>35</v>
      </c>
      <c r="BG22" t="s">
        <v>35</v>
      </c>
      <c r="BH22" t="s">
        <v>35</v>
      </c>
      <c r="BI22" t="s">
        <v>35</v>
      </c>
    </row>
    <row r="23" spans="1:61" s="1" customFormat="1" ht="15" customHeight="1" x14ac:dyDescent="0.3">
      <c r="C23" s="1" t="s">
        <v>165</v>
      </c>
      <c r="D23" s="10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U23"/>
    </row>
    <row r="24" spans="1:61" ht="15" customHeight="1" x14ac:dyDescent="0.3">
      <c r="A24">
        <v>1</v>
      </c>
      <c r="C24" t="s">
        <v>20</v>
      </c>
      <c r="D24" s="9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s="1" customFormat="1" x14ac:dyDescent="0.3">
      <c r="A25" s="1">
        <v>2</v>
      </c>
      <c r="C25" s="5" t="s">
        <v>93</v>
      </c>
      <c r="D25" s="8">
        <v>6</v>
      </c>
      <c r="F25">
        <v>1</v>
      </c>
      <c r="G25" s="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s="1" customFormat="1" x14ac:dyDescent="0.3">
      <c r="A26" s="1">
        <v>3</v>
      </c>
      <c r="C26" s="5" t="s">
        <v>94</v>
      </c>
      <c r="D26" s="8">
        <v>160572</v>
      </c>
      <c r="F26">
        <v>1</v>
      </c>
      <c r="G26" s="5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s="1" customFormat="1" x14ac:dyDescent="0.3">
      <c r="A27">
        <v>4</v>
      </c>
      <c r="B27" s="4" t="s">
        <v>184</v>
      </c>
      <c r="C27" s="5" t="s">
        <v>95</v>
      </c>
      <c r="D27" s="9">
        <v>2</v>
      </c>
      <c r="F27">
        <v>1</v>
      </c>
      <c r="G27" s="5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s="1" customFormat="1" x14ac:dyDescent="0.3">
      <c r="A28" s="1">
        <v>5</v>
      </c>
      <c r="C28" s="5" t="s">
        <v>96</v>
      </c>
      <c r="D28" s="9">
        <v>3</v>
      </c>
      <c r="F28">
        <v>1</v>
      </c>
      <c r="G28" s="5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s="1" customFormat="1" x14ac:dyDescent="0.3">
      <c r="A29" s="1">
        <v>6</v>
      </c>
      <c r="C29" s="5" t="s">
        <v>97</v>
      </c>
      <c r="D29" s="9">
        <v>4</v>
      </c>
      <c r="F29">
        <v>1</v>
      </c>
      <c r="G29" s="5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s="1" customFormat="1" x14ac:dyDescent="0.3">
      <c r="A30">
        <v>7</v>
      </c>
      <c r="C30" s="5" t="s">
        <v>98</v>
      </c>
      <c r="D30" s="9">
        <v>5</v>
      </c>
      <c r="F30">
        <v>1</v>
      </c>
      <c r="G30" s="5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s="1" customFormat="1" x14ac:dyDescent="0.3">
      <c r="A31" s="1">
        <v>8</v>
      </c>
      <c r="C31" s="5" t="s">
        <v>99</v>
      </c>
      <c r="D31" s="9">
        <v>7</v>
      </c>
      <c r="F31">
        <v>1</v>
      </c>
      <c r="G31" s="5">
        <v>0</v>
      </c>
      <c r="H31">
        <v>0</v>
      </c>
      <c r="I31">
        <v>0</v>
      </c>
      <c r="J31">
        <v>0</v>
      </c>
      <c r="K31" s="5">
        <v>0</v>
      </c>
      <c r="L31" s="5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s="1" customFormat="1" x14ac:dyDescent="0.3">
      <c r="A32" s="1">
        <v>9</v>
      </c>
      <c r="C32" s="5" t="s">
        <v>100</v>
      </c>
      <c r="D32" s="9">
        <v>9</v>
      </c>
      <c r="F32">
        <v>1</v>
      </c>
      <c r="G32" s="5">
        <v>0</v>
      </c>
      <c r="H32">
        <v>0</v>
      </c>
      <c r="I32">
        <v>0</v>
      </c>
      <c r="J32">
        <v>0</v>
      </c>
      <c r="K32" s="5">
        <v>0</v>
      </c>
      <c r="L32" s="5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s="1" customFormat="1" x14ac:dyDescent="0.3">
      <c r="A33">
        <v>10</v>
      </c>
      <c r="C33" s="5" t="s">
        <v>101</v>
      </c>
      <c r="D33" s="9">
        <v>10</v>
      </c>
      <c r="F33">
        <v>1</v>
      </c>
      <c r="G33" s="5">
        <v>0</v>
      </c>
      <c r="H33">
        <v>0</v>
      </c>
      <c r="I33">
        <v>0</v>
      </c>
      <c r="J33">
        <v>0</v>
      </c>
      <c r="K33" s="5">
        <v>0</v>
      </c>
      <c r="L33" s="5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3">
      <c r="A34" s="1">
        <v>11</v>
      </c>
      <c r="B34" s="4" t="s">
        <v>190</v>
      </c>
      <c r="C34" t="s">
        <v>0</v>
      </c>
      <c r="D34" s="8">
        <v>104464</v>
      </c>
      <c r="F34">
        <v>1</v>
      </c>
      <c r="G34">
        <v>0</v>
      </c>
      <c r="H34">
        <v>0</v>
      </c>
      <c r="I34">
        <v>0</v>
      </c>
      <c r="J34">
        <v>0</v>
      </c>
      <c r="K34" s="5">
        <v>0</v>
      </c>
      <c r="L34" s="5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3">
      <c r="A35" s="1">
        <v>12</v>
      </c>
      <c r="C35" t="s">
        <v>1</v>
      </c>
      <c r="D35" s="8">
        <v>104465</v>
      </c>
      <c r="F35">
        <v>1</v>
      </c>
      <c r="G35">
        <v>0</v>
      </c>
      <c r="H35">
        <v>0</v>
      </c>
      <c r="I35">
        <v>0</v>
      </c>
      <c r="J35">
        <v>0</v>
      </c>
      <c r="K35" s="5">
        <v>0</v>
      </c>
      <c r="L35" s="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3">
      <c r="A36">
        <v>13</v>
      </c>
      <c r="C36" t="s">
        <v>2</v>
      </c>
      <c r="D36" s="8">
        <v>104467</v>
      </c>
      <c r="F36">
        <v>1</v>
      </c>
      <c r="G36">
        <v>0</v>
      </c>
      <c r="H36">
        <v>0</v>
      </c>
      <c r="I36">
        <v>0</v>
      </c>
      <c r="J36">
        <v>0</v>
      </c>
      <c r="K36" s="5">
        <v>0</v>
      </c>
      <c r="L36" s="5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3">
      <c r="A37" s="1">
        <v>14</v>
      </c>
      <c r="C37" t="s">
        <v>3</v>
      </c>
      <c r="D37" s="8">
        <v>104517</v>
      </c>
      <c r="F37">
        <v>1</v>
      </c>
      <c r="G37">
        <v>0</v>
      </c>
      <c r="H37">
        <v>0</v>
      </c>
      <c r="I37">
        <v>0</v>
      </c>
      <c r="J37">
        <v>0</v>
      </c>
      <c r="K37" s="5">
        <v>0</v>
      </c>
      <c r="L37" s="5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3">
      <c r="A38" s="1">
        <v>15</v>
      </c>
      <c r="C38" t="s">
        <v>4</v>
      </c>
      <c r="D38" s="8">
        <v>104513</v>
      </c>
      <c r="F38">
        <v>1</v>
      </c>
      <c r="G38">
        <v>0</v>
      </c>
      <c r="H38">
        <v>0</v>
      </c>
      <c r="I38">
        <v>0</v>
      </c>
      <c r="J38">
        <v>0</v>
      </c>
      <c r="K38" s="5">
        <v>0</v>
      </c>
      <c r="L38" s="5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1</v>
      </c>
      <c r="AR38">
        <v>0</v>
      </c>
      <c r="AS38">
        <v>1</v>
      </c>
      <c r="AT38">
        <v>1</v>
      </c>
      <c r="AU38">
        <v>1</v>
      </c>
      <c r="AV38">
        <v>0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3">
      <c r="A39">
        <v>16</v>
      </c>
      <c r="C39" t="s">
        <v>5</v>
      </c>
      <c r="D39" s="8">
        <v>104236</v>
      </c>
      <c r="F39">
        <v>1</v>
      </c>
      <c r="G39">
        <v>0</v>
      </c>
      <c r="H39">
        <v>0</v>
      </c>
      <c r="I39">
        <v>0</v>
      </c>
      <c r="J39">
        <v>0</v>
      </c>
      <c r="K39" s="5">
        <v>0</v>
      </c>
      <c r="L39" s="5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3">
      <c r="A40" s="1">
        <v>17</v>
      </c>
      <c r="C40" t="s">
        <v>139</v>
      </c>
      <c r="D40" s="8" t="s">
        <v>176</v>
      </c>
      <c r="F40">
        <v>1</v>
      </c>
      <c r="G40">
        <v>0</v>
      </c>
      <c r="H40">
        <v>0</v>
      </c>
      <c r="I40">
        <v>0</v>
      </c>
      <c r="J40">
        <v>0</v>
      </c>
      <c r="K40" s="5">
        <v>0</v>
      </c>
      <c r="L40" s="5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3">
      <c r="A41" s="1">
        <v>18</v>
      </c>
      <c r="C41" t="s">
        <v>141</v>
      </c>
      <c r="D41" s="8" t="s">
        <v>177</v>
      </c>
      <c r="F41">
        <v>1</v>
      </c>
      <c r="G41">
        <v>0</v>
      </c>
      <c r="H41">
        <v>0</v>
      </c>
      <c r="I41">
        <v>0</v>
      </c>
      <c r="J41">
        <v>0</v>
      </c>
      <c r="K41" s="5">
        <v>0</v>
      </c>
      <c r="L41" s="5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3">
      <c r="A42">
        <v>19</v>
      </c>
      <c r="C42" t="s">
        <v>78</v>
      </c>
      <c r="D42" s="8" t="s">
        <v>178</v>
      </c>
      <c r="F42">
        <v>1</v>
      </c>
      <c r="G42">
        <v>0</v>
      </c>
      <c r="H42">
        <v>0</v>
      </c>
      <c r="I42">
        <v>0</v>
      </c>
      <c r="J42">
        <v>0</v>
      </c>
      <c r="K42" s="5">
        <v>0</v>
      </c>
      <c r="L42" s="5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3">
      <c r="A43" s="1">
        <v>20</v>
      </c>
      <c r="C43" t="s">
        <v>79</v>
      </c>
      <c r="D43" s="8" t="s">
        <v>179</v>
      </c>
      <c r="F43">
        <v>1</v>
      </c>
      <c r="G43">
        <v>0</v>
      </c>
      <c r="H43">
        <v>0</v>
      </c>
      <c r="I43">
        <v>0</v>
      </c>
      <c r="J43">
        <v>0</v>
      </c>
      <c r="K43" s="5">
        <v>0</v>
      </c>
      <c r="L43" s="5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3">
      <c r="A44" s="1">
        <v>21</v>
      </c>
      <c r="C44" t="s">
        <v>6</v>
      </c>
      <c r="D44" s="8">
        <v>104632</v>
      </c>
      <c r="F44">
        <v>1</v>
      </c>
      <c r="G44">
        <v>0</v>
      </c>
      <c r="H44">
        <v>0</v>
      </c>
      <c r="I44">
        <v>0</v>
      </c>
      <c r="J44">
        <v>0</v>
      </c>
      <c r="K44" s="5">
        <v>0</v>
      </c>
      <c r="L44" s="5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3">
      <c r="A45">
        <v>22</v>
      </c>
      <c r="C45" t="s">
        <v>150</v>
      </c>
      <c r="D45" s="8" t="s">
        <v>180</v>
      </c>
      <c r="F45">
        <v>1</v>
      </c>
      <c r="G45">
        <v>0</v>
      </c>
      <c r="H45">
        <v>0</v>
      </c>
      <c r="I45">
        <v>0</v>
      </c>
      <c r="J45">
        <v>0</v>
      </c>
      <c r="K45" s="5">
        <v>0</v>
      </c>
      <c r="L45" s="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3">
      <c r="A46" s="1">
        <v>23</v>
      </c>
      <c r="C46" t="s">
        <v>81</v>
      </c>
      <c r="D46" s="8" t="s">
        <v>181</v>
      </c>
      <c r="F46">
        <v>1</v>
      </c>
      <c r="G46">
        <v>0</v>
      </c>
      <c r="H46">
        <v>0</v>
      </c>
      <c r="I46">
        <v>0</v>
      </c>
      <c r="J46">
        <v>0</v>
      </c>
      <c r="K46" s="5">
        <v>0</v>
      </c>
      <c r="L46" s="5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3">
      <c r="A47" s="1">
        <v>24</v>
      </c>
      <c r="C47" t="s">
        <v>7</v>
      </c>
      <c r="D47" s="8">
        <v>128690</v>
      </c>
      <c r="F47">
        <v>1</v>
      </c>
      <c r="G47">
        <v>0</v>
      </c>
      <c r="H47">
        <v>0</v>
      </c>
      <c r="I47">
        <v>0</v>
      </c>
      <c r="J47">
        <v>0</v>
      </c>
      <c r="K47" s="5">
        <v>0</v>
      </c>
      <c r="L47" s="5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1</v>
      </c>
      <c r="AQ47">
        <v>1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3">
      <c r="A48">
        <v>25</v>
      </c>
      <c r="C48" t="s">
        <v>8</v>
      </c>
      <c r="D48" s="8">
        <v>1078</v>
      </c>
      <c r="F48">
        <v>1</v>
      </c>
      <c r="G48">
        <v>0</v>
      </c>
      <c r="H48">
        <v>0</v>
      </c>
      <c r="I48">
        <v>0</v>
      </c>
      <c r="J48">
        <v>0</v>
      </c>
      <c r="K48" s="5">
        <v>0</v>
      </c>
      <c r="L48" s="5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3">
      <c r="A49" s="1">
        <v>26</v>
      </c>
      <c r="C49" t="s">
        <v>10</v>
      </c>
      <c r="D49" s="8">
        <v>103259</v>
      </c>
      <c r="F49">
        <v>1</v>
      </c>
      <c r="G49">
        <v>0</v>
      </c>
      <c r="H49">
        <v>0</v>
      </c>
      <c r="I49">
        <v>0</v>
      </c>
      <c r="J49">
        <v>0</v>
      </c>
      <c r="K49" s="5">
        <v>0</v>
      </c>
      <c r="L49" s="5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</row>
    <row r="50" spans="1:61" x14ac:dyDescent="0.3">
      <c r="A50" s="1">
        <v>27</v>
      </c>
      <c r="C50" t="s">
        <v>11</v>
      </c>
      <c r="D50" s="8">
        <v>156452</v>
      </c>
      <c r="F50">
        <v>1</v>
      </c>
      <c r="G50">
        <v>0</v>
      </c>
      <c r="H50">
        <v>0</v>
      </c>
      <c r="I50">
        <v>0</v>
      </c>
      <c r="J50">
        <v>0</v>
      </c>
      <c r="K50" s="5">
        <v>0</v>
      </c>
      <c r="L50" s="5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</row>
    <row r="51" spans="1:61" x14ac:dyDescent="0.3">
      <c r="A51">
        <v>28</v>
      </c>
      <c r="C51" t="s">
        <v>188</v>
      </c>
      <c r="D51" s="8" t="s">
        <v>156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3">
      <c r="A52" s="1">
        <v>29</v>
      </c>
      <c r="C52" t="s">
        <v>157</v>
      </c>
      <c r="D52" s="8">
        <v>102297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3">
      <c r="A53" s="1">
        <v>30</v>
      </c>
      <c r="C53" t="s">
        <v>135</v>
      </c>
      <c r="D53" s="8">
        <v>110679</v>
      </c>
      <c r="F53">
        <v>1</v>
      </c>
      <c r="G53">
        <v>0</v>
      </c>
      <c r="H53">
        <v>0</v>
      </c>
      <c r="I53">
        <v>0</v>
      </c>
      <c r="J53">
        <v>0</v>
      </c>
      <c r="K53" s="5">
        <v>0</v>
      </c>
      <c r="L53" s="5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0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</row>
    <row r="54" spans="1:61" x14ac:dyDescent="0.3">
      <c r="A54">
        <v>31</v>
      </c>
      <c r="C54" t="s">
        <v>136</v>
      </c>
      <c r="D54" s="8">
        <v>110690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</row>
    <row r="55" spans="1:61" x14ac:dyDescent="0.3">
      <c r="A55" s="1">
        <v>32</v>
      </c>
      <c r="C55" t="s">
        <v>12</v>
      </c>
      <c r="D55" s="8">
        <v>107590</v>
      </c>
      <c r="F55">
        <v>1</v>
      </c>
      <c r="G55">
        <v>0</v>
      </c>
      <c r="H55">
        <v>0</v>
      </c>
      <c r="I55">
        <v>0</v>
      </c>
      <c r="J55">
        <v>0</v>
      </c>
      <c r="K55" s="5">
        <v>0</v>
      </c>
      <c r="L55" s="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3">
      <c r="A56" s="1">
        <v>33</v>
      </c>
      <c r="C56" t="s">
        <v>13</v>
      </c>
      <c r="D56" s="8">
        <v>139178</v>
      </c>
      <c r="F56">
        <v>1</v>
      </c>
      <c r="G56">
        <v>0</v>
      </c>
      <c r="H56">
        <v>0</v>
      </c>
      <c r="I56">
        <v>0</v>
      </c>
      <c r="J56">
        <v>0</v>
      </c>
      <c r="K56" s="5">
        <v>0</v>
      </c>
      <c r="L56" s="5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3">
      <c r="A57">
        <v>34</v>
      </c>
      <c r="C57" t="s">
        <v>30</v>
      </c>
      <c r="D57" s="8">
        <v>138122</v>
      </c>
      <c r="F57">
        <v>1</v>
      </c>
      <c r="G57">
        <v>0</v>
      </c>
      <c r="H57">
        <v>0</v>
      </c>
      <c r="I57">
        <v>0</v>
      </c>
      <c r="J57">
        <v>0</v>
      </c>
      <c r="K57" s="5">
        <v>0</v>
      </c>
      <c r="L57" s="5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3">
      <c r="A58" s="1">
        <v>35</v>
      </c>
      <c r="C58" t="s">
        <v>14</v>
      </c>
      <c r="D58" s="8">
        <v>2081</v>
      </c>
      <c r="F58">
        <v>1</v>
      </c>
      <c r="G58">
        <v>0</v>
      </c>
      <c r="H58">
        <v>0</v>
      </c>
      <c r="I58">
        <v>0</v>
      </c>
      <c r="J58">
        <v>0</v>
      </c>
      <c r="K58" s="5">
        <v>0</v>
      </c>
      <c r="L58" s="5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3">
      <c r="A59" s="1">
        <v>36</v>
      </c>
      <c r="C59" t="s">
        <v>41</v>
      </c>
      <c r="D59" s="8">
        <v>103357</v>
      </c>
      <c r="F59">
        <v>1</v>
      </c>
      <c r="G59">
        <v>0</v>
      </c>
      <c r="H59">
        <v>0</v>
      </c>
      <c r="I59">
        <v>0</v>
      </c>
      <c r="J59">
        <v>0</v>
      </c>
      <c r="K59" s="5">
        <v>0</v>
      </c>
      <c r="L59" s="5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3">
      <c r="A60">
        <v>37</v>
      </c>
      <c r="C60" t="s">
        <v>42</v>
      </c>
      <c r="D60" s="8">
        <v>1337</v>
      </c>
      <c r="F60">
        <v>1</v>
      </c>
      <c r="G60">
        <v>0</v>
      </c>
      <c r="H60">
        <v>0</v>
      </c>
      <c r="I60">
        <v>0</v>
      </c>
      <c r="J60">
        <v>0</v>
      </c>
      <c r="K60" s="5">
        <v>0</v>
      </c>
      <c r="L60" s="5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3">
      <c r="A61" s="1">
        <v>38</v>
      </c>
      <c r="C61" t="s">
        <v>163</v>
      </c>
      <c r="D61" s="8">
        <v>1248</v>
      </c>
      <c r="F61">
        <v>1</v>
      </c>
      <c r="G61">
        <v>0</v>
      </c>
      <c r="H61">
        <v>0</v>
      </c>
      <c r="I61">
        <v>0</v>
      </c>
      <c r="J61">
        <v>0</v>
      </c>
      <c r="K61" s="5">
        <v>0</v>
      </c>
      <c r="L61" s="5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3">
      <c r="A62" s="1">
        <v>39</v>
      </c>
      <c r="B62" s="4" t="s">
        <v>186</v>
      </c>
      <c r="C62" t="s">
        <v>21</v>
      </c>
      <c r="D62" s="8">
        <v>126433</v>
      </c>
      <c r="F62">
        <v>1</v>
      </c>
      <c r="G62">
        <v>0</v>
      </c>
      <c r="H62">
        <v>0</v>
      </c>
      <c r="I62">
        <v>0</v>
      </c>
      <c r="J62">
        <v>0</v>
      </c>
      <c r="K62" s="5">
        <v>0</v>
      </c>
      <c r="L62" s="5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0</v>
      </c>
      <c r="BG62">
        <v>1</v>
      </c>
      <c r="BH62">
        <v>1</v>
      </c>
      <c r="BI62">
        <v>1</v>
      </c>
    </row>
    <row r="63" spans="1:61" x14ac:dyDescent="0.3">
      <c r="A63">
        <v>40</v>
      </c>
      <c r="C63" t="s">
        <v>105</v>
      </c>
      <c r="D63" s="8">
        <v>126436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0</v>
      </c>
      <c r="BG63">
        <v>1</v>
      </c>
      <c r="BH63">
        <v>1</v>
      </c>
      <c r="BI63">
        <v>1</v>
      </c>
    </row>
    <row r="64" spans="1:61" x14ac:dyDescent="0.3">
      <c r="A64" s="1">
        <v>41</v>
      </c>
      <c r="C64" t="s">
        <v>104</v>
      </c>
      <c r="D64" s="8">
        <v>126437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1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1</v>
      </c>
    </row>
    <row r="65" spans="1:61" x14ac:dyDescent="0.3">
      <c r="A65" s="1">
        <v>42</v>
      </c>
      <c r="C65" t="s">
        <v>102</v>
      </c>
      <c r="D65" s="8">
        <v>126735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1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1</v>
      </c>
    </row>
    <row r="66" spans="1:61" x14ac:dyDescent="0.3">
      <c r="A66">
        <v>43</v>
      </c>
      <c r="C66" t="s">
        <v>106</v>
      </c>
      <c r="D66" s="8">
        <v>127144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1</v>
      </c>
    </row>
    <row r="67" spans="1:61" x14ac:dyDescent="0.3">
      <c r="A67" s="1">
        <v>44</v>
      </c>
      <c r="C67" t="s">
        <v>206</v>
      </c>
      <c r="D67" s="8">
        <v>1044051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</row>
    <row r="68" spans="1:61" x14ac:dyDescent="0.3">
      <c r="A68" s="1">
        <v>45</v>
      </c>
      <c r="C68" t="s">
        <v>208</v>
      </c>
      <c r="D68" s="8">
        <v>293567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1</v>
      </c>
      <c r="BD68">
        <v>0</v>
      </c>
      <c r="BE68">
        <v>1</v>
      </c>
      <c r="BF68">
        <v>0</v>
      </c>
      <c r="BG68">
        <v>1</v>
      </c>
      <c r="BH68">
        <v>1</v>
      </c>
      <c r="BI68">
        <v>1</v>
      </c>
    </row>
    <row r="69" spans="1:61" x14ac:dyDescent="0.3">
      <c r="A69">
        <v>46</v>
      </c>
      <c r="B69" s="4" t="s">
        <v>187</v>
      </c>
      <c r="C69" t="s">
        <v>25</v>
      </c>
      <c r="D69" s="8">
        <v>137129</v>
      </c>
      <c r="F69">
        <v>1</v>
      </c>
      <c r="G69">
        <v>0</v>
      </c>
      <c r="H69">
        <v>0</v>
      </c>
      <c r="I69">
        <v>0</v>
      </c>
      <c r="J69">
        <v>0</v>
      </c>
      <c r="K69" s="5">
        <v>0</v>
      </c>
      <c r="L69" s="5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3">
      <c r="A70" s="1">
        <v>47</v>
      </c>
      <c r="C70" t="s">
        <v>26</v>
      </c>
      <c r="D70" s="8">
        <v>137134</v>
      </c>
      <c r="F70">
        <v>1</v>
      </c>
      <c r="G70">
        <v>0</v>
      </c>
      <c r="H70">
        <v>0</v>
      </c>
      <c r="I70">
        <v>0</v>
      </c>
      <c r="J70">
        <v>0</v>
      </c>
      <c r="K70" s="5">
        <v>0</v>
      </c>
      <c r="L70" s="5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3">
      <c r="A71" s="1">
        <v>48</v>
      </c>
      <c r="C71" t="s">
        <v>27</v>
      </c>
      <c r="D71" s="8">
        <v>137130</v>
      </c>
      <c r="F71">
        <v>1</v>
      </c>
      <c r="G71">
        <v>0</v>
      </c>
      <c r="H71">
        <v>0</v>
      </c>
      <c r="I71">
        <v>0</v>
      </c>
      <c r="J71">
        <v>0</v>
      </c>
      <c r="K71" s="5">
        <v>0</v>
      </c>
      <c r="L71" s="5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3">
      <c r="A72">
        <v>49</v>
      </c>
      <c r="B72" s="4" t="s">
        <v>203</v>
      </c>
      <c r="C72" t="s">
        <v>22</v>
      </c>
      <c r="D72" s="11">
        <v>137086</v>
      </c>
      <c r="F72">
        <v>1</v>
      </c>
      <c r="G72">
        <v>0</v>
      </c>
      <c r="H72">
        <v>0</v>
      </c>
      <c r="I72">
        <v>0</v>
      </c>
      <c r="J72">
        <v>0</v>
      </c>
      <c r="K72" s="5">
        <v>0</v>
      </c>
      <c r="L72" s="5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3">
      <c r="A73" s="1">
        <v>50</v>
      </c>
      <c r="C73" t="s">
        <v>23</v>
      </c>
      <c r="D73" s="11">
        <v>159021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0</v>
      </c>
    </row>
    <row r="74" spans="1:61" x14ac:dyDescent="0.3">
      <c r="A74" s="1">
        <v>51</v>
      </c>
      <c r="C74" t="s">
        <v>24</v>
      </c>
      <c r="D74" s="11">
        <v>137085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3">
      <c r="A75">
        <v>52</v>
      </c>
      <c r="C75" t="s">
        <v>166</v>
      </c>
      <c r="D75" s="11" t="s">
        <v>182</v>
      </c>
      <c r="F75">
        <v>1</v>
      </c>
      <c r="G75">
        <v>0</v>
      </c>
      <c r="H75">
        <v>0</v>
      </c>
      <c r="I75">
        <v>0</v>
      </c>
      <c r="J75">
        <v>0</v>
      </c>
      <c r="K75" s="5">
        <v>0</v>
      </c>
      <c r="L75" s="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</row>
    <row r="76" spans="1:61" x14ac:dyDescent="0.3">
      <c r="A76" s="1">
        <v>53</v>
      </c>
      <c r="C76" t="s">
        <v>108</v>
      </c>
      <c r="D76" s="11">
        <v>137090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3">
      <c r="A77" s="1">
        <v>54</v>
      </c>
      <c r="C77" t="s">
        <v>189</v>
      </c>
      <c r="D77" s="11" t="s">
        <v>183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x14ac:dyDescent="0.3">
      <c r="A78">
        <v>55</v>
      </c>
      <c r="C78" t="s">
        <v>109</v>
      </c>
      <c r="D78" s="11">
        <v>137102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x14ac:dyDescent="0.3">
      <c r="A79" s="1">
        <v>56</v>
      </c>
      <c r="C79" t="s">
        <v>110</v>
      </c>
      <c r="D79" s="11">
        <v>159019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1</v>
      </c>
      <c r="BI79">
        <v>0</v>
      </c>
    </row>
    <row r="81" spans="1:4" x14ac:dyDescent="0.3">
      <c r="A81" s="1"/>
      <c r="D81" s="11"/>
    </row>
    <row r="82" spans="1:4" x14ac:dyDescent="0.3">
      <c r="D82" s="11"/>
    </row>
    <row r="84" spans="1:4" x14ac:dyDescent="0.3">
      <c r="D84" s="11"/>
    </row>
    <row r="85" spans="1:4" x14ac:dyDescent="0.3">
      <c r="A85" s="1"/>
      <c r="D85" s="11"/>
    </row>
    <row r="86" spans="1:4" x14ac:dyDescent="0.3">
      <c r="D86" s="11"/>
    </row>
  </sheetData>
  <phoneticPr fontId="10" type="noConversion"/>
  <conditionalFormatting sqref="F24:AI24 AR24:AU47 AJ24:AQ50 AW24:BI66 F24:F79 H25:AI26 H27:AF31 AG27:AI50 H32:J38 M32:AF50 G34:G38 G39:J50 AR48:AV50 G51:AV52 G53:J53 M53:AV53 G54:AV54 AR55:AV55 AG55:AQ60 G55:J62 M55:AF62 AR56:AU60 AG61:AV66 G63:AF66 G67:BI68 G69:J72 M69:AF72 AG69:BI79 G73:AF74 G75:J75 M75:AF75 G76:AF79 F81:BI82 F84:BI86">
    <cfRule type="cellIs" dxfId="4" priority="53" operator="greaterThan">
      <formula>0.5</formula>
    </cfRule>
    <cfRule type="cellIs" priority="54" operator="greaterThan">
      <formula>0</formula>
    </cfRule>
  </conditionalFormatting>
  <conditionalFormatting sqref="F17:BD17 Y22:BI22">
    <cfRule type="cellIs" dxfId="3" priority="3" operator="equal">
      <formula>"NA"</formula>
    </cfRule>
    <cfRule type="cellIs" dxfId="2" priority="4" operator="equal">
      <formula>0</formula>
    </cfRule>
  </conditionalFormatting>
  <conditionalFormatting sqref="Y10:BG10 F10:X12 Y11:AA11 AC11 AE11 AI11:AM11 AO11:AX11 BG12 Y12:BD16 BE12:BF17 F13:W16 BG13:BI17 X16 F22:W22">
    <cfRule type="cellIs" dxfId="1" priority="45" operator="equal">
      <formula>"NA"</formula>
    </cfRule>
    <cfRule type="cellIs" dxfId="0" priority="46" operator="equal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E05-4321-4F6A-BE5F-5FDAE2223BBB}">
  <dimension ref="A3:A10"/>
  <sheetViews>
    <sheetView workbookViewId="0">
      <selection activeCell="E22" sqref="E22"/>
    </sheetView>
  </sheetViews>
  <sheetFormatPr defaultColWidth="11.5546875" defaultRowHeight="14.4" x14ac:dyDescent="0.3"/>
  <sheetData>
    <row r="3" spans="1:1" x14ac:dyDescent="0.3">
      <c r="A3" s="3" t="s">
        <v>29</v>
      </c>
    </row>
    <row r="4" spans="1:1" x14ac:dyDescent="0.3">
      <c r="A4" t="s">
        <v>28</v>
      </c>
    </row>
    <row r="6" spans="1:1" x14ac:dyDescent="0.3">
      <c r="A6" t="s">
        <v>47</v>
      </c>
    </row>
    <row r="7" spans="1:1" x14ac:dyDescent="0.3">
      <c r="A7" t="s">
        <v>48</v>
      </c>
    </row>
    <row r="9" spans="1:1" x14ac:dyDescent="0.3">
      <c r="A9" t="s">
        <v>61</v>
      </c>
    </row>
    <row r="10" spans="1:1" x14ac:dyDescent="0.3">
      <c r="A10" t="s">
        <v>62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PredPreyMatrixArctic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Jungblut</dc:creator>
  <cp:lastModifiedBy>Juliane Entzian</cp:lastModifiedBy>
  <dcterms:created xsi:type="dcterms:W3CDTF">2025-03-19T09:46:14Z</dcterms:created>
  <dcterms:modified xsi:type="dcterms:W3CDTF">2026-01-06T15:16:31Z</dcterms:modified>
</cp:coreProperties>
</file>